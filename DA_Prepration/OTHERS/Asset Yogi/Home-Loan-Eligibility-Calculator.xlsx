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/>
  <mc:AlternateContent xmlns:mc="http://schemas.openxmlformats.org/markup-compatibility/2006">
    <mc:Choice Requires="x15">
      <x15ac:absPath xmlns:x15ac="http://schemas.microsoft.com/office/spreadsheetml/2010/11/ac" url="C:\Users\Admin\Desktop\Calculators\Home Loan Eligibility Calculator\"/>
    </mc:Choice>
  </mc:AlternateContent>
  <xr:revisionPtr revIDLastSave="0" documentId="8_{74EB11B9-D53B-4B3D-B786-68E23FC3EC98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Loan Eligibility" sheetId="1" r:id="rId1"/>
    <sheet name="EMI Calculator" sheetId="2" state="hidden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A54" i="2"/>
  <c r="A19" i="2"/>
  <c r="A20" i="2" s="1"/>
  <c r="A21" i="2" s="1"/>
  <c r="K18" i="2"/>
  <c r="A22" i="2" l="1"/>
  <c r="A23" i="2" s="1"/>
  <c r="K21" i="2"/>
  <c r="K19" i="2"/>
  <c r="A55" i="2"/>
  <c r="K20" i="2"/>
  <c r="K22" i="2"/>
  <c r="A24" i="2" l="1"/>
  <c r="K23" i="2"/>
  <c r="A56" i="2"/>
  <c r="A25" i="2" l="1"/>
  <c r="K24" i="2"/>
  <c r="A57" i="2"/>
  <c r="A26" i="2" l="1"/>
  <c r="K25" i="2"/>
  <c r="A58" i="2"/>
  <c r="A27" i="2" l="1"/>
  <c r="K26" i="2"/>
  <c r="A59" i="2"/>
  <c r="A28" i="2" l="1"/>
  <c r="K27" i="2"/>
  <c r="A60" i="2"/>
  <c r="A29" i="2" l="1"/>
  <c r="K28" i="2"/>
  <c r="A61" i="2"/>
  <c r="A30" i="2" l="1"/>
  <c r="K29" i="2"/>
  <c r="A62" i="2"/>
  <c r="A31" i="2" l="1"/>
  <c r="K30" i="2"/>
  <c r="A63" i="2"/>
  <c r="A32" i="2" l="1"/>
  <c r="K31" i="2"/>
  <c r="A64" i="2"/>
  <c r="A33" i="2" l="1"/>
  <c r="K32" i="2"/>
  <c r="A65" i="2"/>
  <c r="A34" i="2" l="1"/>
  <c r="K33" i="2"/>
  <c r="A66" i="2"/>
  <c r="A35" i="2" l="1"/>
  <c r="K34" i="2"/>
  <c r="A67" i="2"/>
  <c r="A36" i="2" l="1"/>
  <c r="K35" i="2"/>
  <c r="A68" i="2"/>
  <c r="A37" i="2" l="1"/>
  <c r="K36" i="2"/>
  <c r="A69" i="2"/>
  <c r="A38" i="2" l="1"/>
  <c r="K37" i="2"/>
  <c r="A70" i="2"/>
  <c r="A39" i="2" l="1"/>
  <c r="K38" i="2"/>
  <c r="A71" i="2"/>
  <c r="A40" i="2" l="1"/>
  <c r="K39" i="2"/>
  <c r="A72" i="2"/>
  <c r="A41" i="2" l="1"/>
  <c r="K40" i="2"/>
  <c r="A73" i="2"/>
  <c r="A42" i="2" l="1"/>
  <c r="K41" i="2"/>
  <c r="A74" i="2"/>
  <c r="A43" i="2" l="1"/>
  <c r="K42" i="2"/>
  <c r="A75" i="2"/>
  <c r="A44" i="2" l="1"/>
  <c r="K43" i="2"/>
  <c r="A76" i="2"/>
  <c r="A45" i="2" l="1"/>
  <c r="K44" i="2"/>
  <c r="A77" i="2"/>
  <c r="A46" i="2" l="1"/>
  <c r="K45" i="2"/>
  <c r="A78" i="2"/>
  <c r="A47" i="2" l="1"/>
  <c r="K47" i="2" s="1"/>
  <c r="K46" i="2"/>
  <c r="A79" i="2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  <c r="A183" i="2" l="1"/>
  <c r="A184" i="2" l="1"/>
  <c r="A185" i="2" l="1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3" i="2" l="1"/>
  <c r="A204" i="2" l="1"/>
  <c r="A205" i="2" l="1"/>
  <c r="A206" i="2" l="1"/>
  <c r="A207" i="2" l="1"/>
  <c r="A208" i="2" l="1"/>
  <c r="A209" i="2" l="1"/>
  <c r="A210" i="2" l="1"/>
  <c r="A211" i="2" l="1"/>
  <c r="A212" i="2" l="1"/>
  <c r="A213" i="2" l="1"/>
  <c r="A214" i="2" l="1"/>
  <c r="A215" i="2" l="1"/>
  <c r="A216" i="2" l="1"/>
  <c r="A217" i="2" l="1"/>
  <c r="A218" i="2" l="1"/>
  <c r="A219" i="2" l="1"/>
  <c r="A220" i="2" l="1"/>
  <c r="A221" i="2" l="1"/>
  <c r="A222" i="2" l="1"/>
  <c r="A223" i="2" l="1"/>
  <c r="A224" i="2" l="1"/>
  <c r="A225" i="2" l="1"/>
  <c r="A226" i="2" l="1"/>
  <c r="A227" i="2" l="1"/>
  <c r="A228" i="2" l="1"/>
  <c r="A229" i="2" l="1"/>
  <c r="A230" i="2" l="1"/>
  <c r="A231" i="2" l="1"/>
  <c r="A232" i="2" l="1"/>
  <c r="A233" i="2" l="1"/>
  <c r="A234" i="2" l="1"/>
  <c r="A235" i="2" l="1"/>
  <c r="A236" i="2" l="1"/>
  <c r="A237" i="2" l="1"/>
  <c r="A238" i="2" l="1"/>
  <c r="A239" i="2" l="1"/>
  <c r="A240" i="2" l="1"/>
  <c r="A241" i="2" l="1"/>
  <c r="A242" i="2" l="1"/>
  <c r="A243" i="2" l="1"/>
  <c r="A244" i="2" l="1"/>
  <c r="A245" i="2" l="1"/>
  <c r="A246" i="2" l="1"/>
  <c r="A247" i="2" l="1"/>
  <c r="A248" i="2" l="1"/>
  <c r="A249" i="2" l="1"/>
  <c r="A250" i="2" l="1"/>
  <c r="A251" i="2" l="1"/>
  <c r="A252" i="2" l="1"/>
  <c r="A253" i="2" l="1"/>
  <c r="A254" i="2" l="1"/>
  <c r="A255" i="2" l="1"/>
  <c r="A256" i="2" l="1"/>
  <c r="A257" i="2" l="1"/>
  <c r="A258" i="2" l="1"/>
  <c r="A259" i="2" l="1"/>
  <c r="A260" i="2" l="1"/>
  <c r="A261" i="2" l="1"/>
  <c r="A262" i="2" l="1"/>
  <c r="A263" i="2" l="1"/>
  <c r="A264" i="2" l="1"/>
  <c r="A265" i="2" l="1"/>
  <c r="A266" i="2" l="1"/>
  <c r="A267" i="2" l="1"/>
  <c r="A268" i="2" l="1"/>
  <c r="A269" i="2" l="1"/>
  <c r="A270" i="2" l="1"/>
  <c r="A271" i="2" l="1"/>
  <c r="A272" i="2" l="1"/>
  <c r="A273" i="2" l="1"/>
  <c r="A274" i="2" l="1"/>
  <c r="A275" i="2" l="1"/>
  <c r="A276" i="2" l="1"/>
  <c r="A277" i="2" l="1"/>
  <c r="A278" i="2" l="1"/>
  <c r="A279" i="2" l="1"/>
  <c r="A280" i="2" l="1"/>
  <c r="A281" i="2" l="1"/>
  <c r="A282" i="2" l="1"/>
  <c r="A283" i="2" l="1"/>
  <c r="A284" i="2" l="1"/>
  <c r="A285" i="2" l="1"/>
  <c r="A286" i="2" l="1"/>
  <c r="A287" i="2" l="1"/>
  <c r="A288" i="2" l="1"/>
  <c r="A289" i="2" l="1"/>
  <c r="A290" i="2" l="1"/>
  <c r="A291" i="2" l="1"/>
  <c r="A292" i="2" l="1"/>
  <c r="A293" i="2" l="1"/>
  <c r="A294" i="2" l="1"/>
  <c r="A295" i="2" l="1"/>
  <c r="A296" i="2" l="1"/>
  <c r="A297" i="2" l="1"/>
  <c r="A298" i="2" l="1"/>
  <c r="A299" i="2" l="1"/>
  <c r="A300" i="2" l="1"/>
  <c r="A301" i="2" l="1"/>
  <c r="A302" i="2" l="1"/>
  <c r="A303" i="2" l="1"/>
  <c r="A304" i="2" l="1"/>
  <c r="A305" i="2" l="1"/>
  <c r="A306" i="2" l="1"/>
  <c r="A307" i="2" l="1"/>
  <c r="A308" i="2" l="1"/>
  <c r="A309" i="2" l="1"/>
  <c r="A310" i="2" l="1"/>
  <c r="A311" i="2" l="1"/>
  <c r="A312" i="2" l="1"/>
  <c r="A313" i="2" l="1"/>
  <c r="A314" i="2" l="1"/>
  <c r="A315" i="2" l="1"/>
  <c r="A316" i="2" l="1"/>
  <c r="A317" i="2" l="1"/>
  <c r="A318" i="2" l="1"/>
  <c r="A319" i="2" l="1"/>
  <c r="A320" i="2" l="1"/>
  <c r="A321" i="2" l="1"/>
  <c r="A322" i="2" l="1"/>
  <c r="A323" i="2" l="1"/>
  <c r="A324" i="2" l="1"/>
  <c r="A325" i="2" l="1"/>
  <c r="A326" i="2" l="1"/>
  <c r="A327" i="2" l="1"/>
  <c r="A328" i="2" l="1"/>
  <c r="A329" i="2" l="1"/>
  <c r="A330" i="2" l="1"/>
  <c r="A331" i="2" l="1"/>
  <c r="A332" i="2" l="1"/>
  <c r="A333" i="2" l="1"/>
  <c r="A334" i="2" l="1"/>
  <c r="A335" i="2" l="1"/>
  <c r="A336" i="2" l="1"/>
  <c r="A337" i="2" l="1"/>
  <c r="A338" i="2" l="1"/>
  <c r="A339" i="2" l="1"/>
  <c r="A340" i="2" l="1"/>
  <c r="A341" i="2" l="1"/>
  <c r="A342" i="2" l="1"/>
  <c r="A343" i="2" l="1"/>
  <c r="A344" i="2" l="1"/>
  <c r="A345" i="2" l="1"/>
  <c r="A346" i="2" l="1"/>
  <c r="A347" i="2" l="1"/>
  <c r="A348" i="2" l="1"/>
  <c r="A349" i="2" l="1"/>
  <c r="A350" i="2" l="1"/>
  <c r="A351" i="2" l="1"/>
  <c r="A352" i="2" l="1"/>
  <c r="A353" i="2" l="1"/>
  <c r="A354" i="2" l="1"/>
  <c r="A355" i="2" l="1"/>
  <c r="A356" i="2" l="1"/>
  <c r="A357" i="2" l="1"/>
  <c r="A358" i="2" l="1"/>
  <c r="A359" i="2" l="1"/>
  <c r="A360" i="2" l="1"/>
  <c r="A361" i="2" l="1"/>
  <c r="A362" i="2" l="1"/>
  <c r="A363" i="2" l="1"/>
  <c r="A364" i="2" l="1"/>
  <c r="A365" i="2" l="1"/>
  <c r="A366" i="2" l="1"/>
  <c r="A367" i="2" l="1"/>
  <c r="A368" i="2" l="1"/>
  <c r="A369" i="2" l="1"/>
  <c r="A370" i="2" l="1"/>
  <c r="A371" i="2" l="1"/>
  <c r="A372" i="2" l="1"/>
  <c r="A373" i="2" l="1"/>
  <c r="A374" i="2" l="1"/>
  <c r="A375" i="2" l="1"/>
  <c r="A376" i="2" l="1"/>
  <c r="A377" i="2" l="1"/>
  <c r="A378" i="2" l="1"/>
  <c r="A379" i="2" l="1"/>
  <c r="A380" i="2" l="1"/>
  <c r="A381" i="2" l="1"/>
  <c r="A382" i="2" l="1"/>
  <c r="A383" i="2" l="1"/>
  <c r="A384" i="2" l="1"/>
  <c r="A385" i="2" l="1"/>
  <c r="A386" i="2" l="1"/>
  <c r="A387" i="2" l="1"/>
  <c r="A388" i="2" l="1"/>
  <c r="A389" i="2" l="1"/>
  <c r="A390" i="2" l="1"/>
  <c r="A391" i="2" l="1"/>
  <c r="A392" i="2" l="1"/>
  <c r="A393" i="2" l="1"/>
  <c r="A394" i="2" l="1"/>
  <c r="A395" i="2" l="1"/>
  <c r="A396" i="2" l="1"/>
  <c r="A397" i="2" l="1"/>
  <c r="A398" i="2" l="1"/>
  <c r="A399" i="2" l="1"/>
  <c r="A400" i="2" l="1"/>
  <c r="A401" i="2" l="1"/>
  <c r="A402" i="2" l="1"/>
  <c r="A403" i="2" l="1"/>
  <c r="A404" i="2" l="1"/>
  <c r="A405" i="2" l="1"/>
  <c r="A406" i="2" l="1"/>
  <c r="A407" i="2" l="1"/>
  <c r="A408" i="2" l="1"/>
  <c r="A409" i="2" l="1"/>
  <c r="A410" i="2" l="1"/>
  <c r="A411" i="2" l="1"/>
  <c r="A412" i="2" l="1"/>
  <c r="C14" i="1" l="1"/>
  <c r="C11" i="1" s="1"/>
  <c r="C10" i="1" s="1"/>
  <c r="C12" i="1" s="1"/>
  <c r="C4" i="2" l="1"/>
  <c r="C12" i="2" s="1"/>
  <c r="F11" i="1"/>
  <c r="C53" i="2" l="1"/>
  <c r="F53" i="2" s="1"/>
  <c r="C10" i="2"/>
  <c r="D78" i="2" s="1"/>
  <c r="D251" i="2" l="1"/>
  <c r="D167" i="2"/>
  <c r="D274" i="2"/>
  <c r="D268" i="2"/>
  <c r="D246" i="2"/>
  <c r="D148" i="2"/>
  <c r="D283" i="2"/>
  <c r="D262" i="2"/>
  <c r="D234" i="2"/>
  <c r="D90" i="2"/>
  <c r="D282" i="2"/>
  <c r="D260" i="2"/>
  <c r="D224" i="2"/>
  <c r="D53" i="2"/>
  <c r="B53" i="2" s="1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244" i="2"/>
  <c r="D196" i="2"/>
  <c r="D130" i="2"/>
  <c r="D288" i="2"/>
  <c r="D272" i="2"/>
  <c r="D255" i="2"/>
  <c r="D236" i="2"/>
  <c r="D187" i="2"/>
  <c r="D119" i="2"/>
  <c r="D290" i="2"/>
  <c r="D279" i="2"/>
  <c r="D266" i="2"/>
  <c r="D252" i="2"/>
  <c r="D240" i="2"/>
  <c r="D204" i="2"/>
  <c r="D159" i="2"/>
  <c r="D111" i="2"/>
  <c r="D287" i="2"/>
  <c r="D276" i="2"/>
  <c r="D267" i="2"/>
  <c r="D258" i="2"/>
  <c r="D247" i="2"/>
  <c r="D239" i="2"/>
  <c r="D215" i="2"/>
  <c r="D176" i="2"/>
  <c r="D139" i="2"/>
  <c r="D102" i="2"/>
  <c r="D231" i="2"/>
  <c r="D223" i="2"/>
  <c r="D212" i="2"/>
  <c r="D203" i="2"/>
  <c r="D194" i="2"/>
  <c r="D183" i="2"/>
  <c r="D175" i="2"/>
  <c r="D166" i="2"/>
  <c r="D155" i="2"/>
  <c r="D146" i="2"/>
  <c r="D138" i="2"/>
  <c r="D127" i="2"/>
  <c r="D118" i="2"/>
  <c r="D108" i="2"/>
  <c r="D98" i="2"/>
  <c r="D88" i="2"/>
  <c r="D75" i="2"/>
  <c r="D230" i="2"/>
  <c r="D219" i="2"/>
  <c r="D210" i="2"/>
  <c r="D202" i="2"/>
  <c r="D191" i="2"/>
  <c r="D182" i="2"/>
  <c r="D172" i="2"/>
  <c r="D162" i="2"/>
  <c r="D154" i="2"/>
  <c r="D144" i="2"/>
  <c r="D134" i="2"/>
  <c r="D124" i="2"/>
  <c r="D116" i="2"/>
  <c r="D106" i="2"/>
  <c r="D96" i="2"/>
  <c r="D84" i="2"/>
  <c r="D64" i="2"/>
  <c r="D226" i="2"/>
  <c r="D218" i="2"/>
  <c r="D208" i="2"/>
  <c r="D198" i="2"/>
  <c r="D188" i="2"/>
  <c r="D180" i="2"/>
  <c r="D170" i="2"/>
  <c r="D160" i="2"/>
  <c r="D151" i="2"/>
  <c r="D140" i="2"/>
  <c r="D132" i="2"/>
  <c r="D123" i="2"/>
  <c r="D112" i="2"/>
  <c r="D103" i="2"/>
  <c r="D95" i="2"/>
  <c r="D80" i="2"/>
  <c r="D59" i="2"/>
  <c r="D292" i="2"/>
  <c r="D284" i="2"/>
  <c r="D278" i="2"/>
  <c r="D271" i="2"/>
  <c r="D263" i="2"/>
  <c r="D256" i="2"/>
  <c r="D250" i="2"/>
  <c r="D242" i="2"/>
  <c r="D235" i="2"/>
  <c r="D228" i="2"/>
  <c r="D220" i="2"/>
  <c r="D214" i="2"/>
  <c r="D207" i="2"/>
  <c r="D199" i="2"/>
  <c r="D192" i="2"/>
  <c r="D186" i="2"/>
  <c r="D178" i="2"/>
  <c r="D171" i="2"/>
  <c r="D164" i="2"/>
  <c r="D156" i="2"/>
  <c r="D150" i="2"/>
  <c r="D143" i="2"/>
  <c r="D135" i="2"/>
  <c r="D128" i="2"/>
  <c r="D122" i="2"/>
  <c r="D114" i="2"/>
  <c r="D107" i="2"/>
  <c r="D100" i="2"/>
  <c r="D91" i="2"/>
  <c r="D83" i="2"/>
  <c r="D74" i="2"/>
  <c r="D291" i="2"/>
  <c r="D286" i="2"/>
  <c r="D280" i="2"/>
  <c r="D275" i="2"/>
  <c r="D270" i="2"/>
  <c r="D264" i="2"/>
  <c r="D259" i="2"/>
  <c r="D254" i="2"/>
  <c r="D248" i="2"/>
  <c r="D243" i="2"/>
  <c r="D238" i="2"/>
  <c r="D232" i="2"/>
  <c r="D227" i="2"/>
  <c r="D222" i="2"/>
  <c r="D216" i="2"/>
  <c r="D211" i="2"/>
  <c r="D206" i="2"/>
  <c r="D200" i="2"/>
  <c r="D195" i="2"/>
  <c r="D190" i="2"/>
  <c r="D184" i="2"/>
  <c r="D179" i="2"/>
  <c r="D174" i="2"/>
  <c r="D168" i="2"/>
  <c r="D163" i="2"/>
  <c r="D158" i="2"/>
  <c r="D152" i="2"/>
  <c r="D147" i="2"/>
  <c r="D142" i="2"/>
  <c r="D136" i="2"/>
  <c r="D131" i="2"/>
  <c r="D126" i="2"/>
  <c r="D120" i="2"/>
  <c r="D115" i="2"/>
  <c r="D110" i="2"/>
  <c r="D104" i="2"/>
  <c r="D99" i="2"/>
  <c r="D94" i="2"/>
  <c r="D86" i="2"/>
  <c r="D79" i="2"/>
  <c r="D72" i="2"/>
  <c r="D289" i="2"/>
  <c r="D285" i="2"/>
  <c r="D281" i="2"/>
  <c r="D277" i="2"/>
  <c r="D273" i="2"/>
  <c r="D269" i="2"/>
  <c r="D265" i="2"/>
  <c r="D261" i="2"/>
  <c r="D257" i="2"/>
  <c r="D253" i="2"/>
  <c r="D249" i="2"/>
  <c r="D245" i="2"/>
  <c r="D241" i="2"/>
  <c r="D237" i="2"/>
  <c r="D233" i="2"/>
  <c r="D229" i="2"/>
  <c r="D225" i="2"/>
  <c r="D221" i="2"/>
  <c r="D217" i="2"/>
  <c r="D213" i="2"/>
  <c r="D209" i="2"/>
  <c r="D205" i="2"/>
  <c r="D201" i="2"/>
  <c r="D197" i="2"/>
  <c r="D193" i="2"/>
  <c r="D189" i="2"/>
  <c r="D185" i="2"/>
  <c r="D181" i="2"/>
  <c r="D177" i="2"/>
  <c r="D173" i="2"/>
  <c r="D169" i="2"/>
  <c r="D165" i="2"/>
  <c r="D161" i="2"/>
  <c r="D157" i="2"/>
  <c r="D153" i="2"/>
  <c r="D149" i="2"/>
  <c r="D145" i="2"/>
  <c r="D141" i="2"/>
  <c r="D137" i="2"/>
  <c r="D133" i="2"/>
  <c r="D129" i="2"/>
  <c r="D125" i="2"/>
  <c r="D121" i="2"/>
  <c r="D117" i="2"/>
  <c r="D113" i="2"/>
  <c r="D109" i="2"/>
  <c r="D105" i="2"/>
  <c r="D101" i="2"/>
  <c r="D97" i="2"/>
  <c r="D92" i="2"/>
  <c r="D87" i="2"/>
  <c r="D82" i="2"/>
  <c r="D76" i="2"/>
  <c r="D71" i="2"/>
  <c r="D70" i="2"/>
  <c r="D67" i="2"/>
  <c r="D62" i="2"/>
  <c r="D66" i="2"/>
  <c r="D54" i="2"/>
  <c r="D58" i="2"/>
  <c r="D68" i="2"/>
  <c r="D63" i="2"/>
  <c r="D56" i="2"/>
  <c r="D60" i="2"/>
  <c r="D55" i="2"/>
  <c r="D93" i="2"/>
  <c r="D89" i="2"/>
  <c r="D85" i="2"/>
  <c r="D81" i="2"/>
  <c r="D77" i="2"/>
  <c r="D73" i="2"/>
  <c r="D69" i="2"/>
  <c r="D65" i="2"/>
  <c r="D61" i="2"/>
  <c r="D57" i="2"/>
  <c r="D413" i="2" l="1"/>
  <c r="G53" i="2"/>
  <c r="E53" i="2"/>
  <c r="C54" i="2" l="1"/>
  <c r="F54" i="2" l="1"/>
  <c r="B54" i="2"/>
  <c r="G54" i="2" l="1"/>
  <c r="E54" i="2"/>
  <c r="C55" i="2" l="1"/>
  <c r="B55" i="2" l="1"/>
  <c r="F55" i="2"/>
  <c r="G55" i="2" l="1"/>
  <c r="E55" i="2"/>
  <c r="C56" i="2" l="1"/>
  <c r="B56" i="2" l="1"/>
  <c r="F56" i="2"/>
  <c r="E56" i="2" l="1"/>
  <c r="G56" i="2"/>
  <c r="C57" i="2" l="1"/>
  <c r="B57" i="2" l="1"/>
  <c r="F57" i="2"/>
  <c r="G57" i="2" l="1"/>
  <c r="E57" i="2"/>
  <c r="C58" i="2" l="1"/>
  <c r="B58" i="2" l="1"/>
  <c r="F58" i="2"/>
  <c r="E58" i="2" l="1"/>
  <c r="G58" i="2"/>
  <c r="C59" i="2" l="1"/>
  <c r="B59" i="2" l="1"/>
  <c r="F59" i="2"/>
  <c r="G59" i="2" l="1"/>
  <c r="E59" i="2"/>
  <c r="C60" i="2" l="1"/>
  <c r="B60" i="2" l="1"/>
  <c r="F60" i="2"/>
  <c r="G60" i="2" l="1"/>
  <c r="E60" i="2"/>
  <c r="C61" i="2" l="1"/>
  <c r="B61" i="2" l="1"/>
  <c r="F61" i="2"/>
  <c r="G61" i="2" l="1"/>
  <c r="E61" i="2"/>
  <c r="C62" i="2" l="1"/>
  <c r="B62" i="2" l="1"/>
  <c r="F62" i="2"/>
  <c r="G62" i="2" l="1"/>
  <c r="E62" i="2"/>
  <c r="C63" i="2" l="1"/>
  <c r="B63" i="2" l="1"/>
  <c r="F63" i="2"/>
  <c r="E63" i="2" l="1"/>
  <c r="G63" i="2"/>
  <c r="C64" i="2" l="1"/>
  <c r="B64" i="2" l="1"/>
  <c r="F64" i="2"/>
  <c r="G64" i="2" l="1"/>
  <c r="E64" i="2"/>
  <c r="F18" i="2"/>
  <c r="G18" i="2" l="1"/>
  <c r="C65" i="2"/>
  <c r="E18" i="2"/>
  <c r="B65" i="2" l="1"/>
  <c r="F65" i="2"/>
  <c r="E65" i="2" l="1"/>
  <c r="G65" i="2"/>
  <c r="C66" i="2" l="1"/>
  <c r="B66" i="2" l="1"/>
  <c r="F66" i="2"/>
  <c r="E66" i="2" l="1"/>
  <c r="G66" i="2"/>
  <c r="C67" i="2" l="1"/>
  <c r="B67" i="2" l="1"/>
  <c r="F67" i="2"/>
  <c r="G67" i="2" l="1"/>
  <c r="E67" i="2"/>
  <c r="C68" i="2" l="1"/>
  <c r="B68" i="2" l="1"/>
  <c r="F68" i="2"/>
  <c r="E68" i="2" l="1"/>
  <c r="G68" i="2"/>
  <c r="C69" i="2" l="1"/>
  <c r="B69" i="2" l="1"/>
  <c r="F69" i="2"/>
  <c r="E69" i="2" l="1"/>
  <c r="G69" i="2"/>
  <c r="C70" i="2" l="1"/>
  <c r="B70" i="2" l="1"/>
  <c r="F70" i="2"/>
  <c r="G70" i="2" l="1"/>
  <c r="E70" i="2"/>
  <c r="C71" i="2" l="1"/>
  <c r="B71" i="2" l="1"/>
  <c r="F71" i="2"/>
  <c r="E71" i="2" l="1"/>
  <c r="G71" i="2"/>
  <c r="C72" i="2" l="1"/>
  <c r="B72" i="2" l="1"/>
  <c r="F72" i="2"/>
  <c r="G72" i="2" l="1"/>
  <c r="E72" i="2"/>
  <c r="C73" i="2" l="1"/>
  <c r="B73" i="2" l="1"/>
  <c r="F73" i="2"/>
  <c r="E73" i="2" l="1"/>
  <c r="G73" i="2"/>
  <c r="C74" i="2" l="1"/>
  <c r="B74" i="2" l="1"/>
  <c r="F74" i="2"/>
  <c r="G74" i="2" l="1"/>
  <c r="E74" i="2"/>
  <c r="C75" i="2" l="1"/>
  <c r="B75" i="2" l="1"/>
  <c r="F75" i="2"/>
  <c r="E75" i="2" l="1"/>
  <c r="G75" i="2"/>
  <c r="C76" i="2" l="1"/>
  <c r="B76" i="2" l="1"/>
  <c r="F76" i="2"/>
  <c r="F19" i="2" l="1"/>
  <c r="E76" i="2"/>
  <c r="G76" i="2"/>
  <c r="G19" i="2" l="1"/>
  <c r="C77" i="2"/>
  <c r="E19" i="2"/>
  <c r="B77" i="2" l="1"/>
  <c r="F77" i="2"/>
  <c r="G77" i="2" l="1"/>
  <c r="E77" i="2"/>
  <c r="C78" i="2" l="1"/>
  <c r="B78" i="2" l="1"/>
  <c r="F78" i="2"/>
  <c r="G78" i="2" l="1"/>
  <c r="E78" i="2"/>
  <c r="C79" i="2" l="1"/>
  <c r="B79" i="2" l="1"/>
  <c r="F79" i="2"/>
  <c r="G79" i="2" l="1"/>
  <c r="E79" i="2"/>
  <c r="C80" i="2" l="1"/>
  <c r="B80" i="2" l="1"/>
  <c r="F80" i="2"/>
  <c r="E80" i="2" l="1"/>
  <c r="G80" i="2"/>
  <c r="C81" i="2" l="1"/>
  <c r="B81" i="2" l="1"/>
  <c r="F81" i="2"/>
  <c r="G81" i="2" l="1"/>
  <c r="E81" i="2"/>
  <c r="C82" i="2" l="1"/>
  <c r="B82" i="2" l="1"/>
  <c r="F82" i="2"/>
  <c r="E82" i="2" l="1"/>
  <c r="G82" i="2"/>
  <c r="C83" i="2" l="1"/>
  <c r="B83" i="2" l="1"/>
  <c r="F83" i="2"/>
  <c r="E83" i="2" l="1"/>
  <c r="G83" i="2"/>
  <c r="C84" i="2" l="1"/>
  <c r="B84" i="2" l="1"/>
  <c r="F84" i="2"/>
  <c r="G84" i="2" l="1"/>
  <c r="E84" i="2"/>
  <c r="C85" i="2" l="1"/>
  <c r="B85" i="2" l="1"/>
  <c r="F85" i="2"/>
  <c r="G85" i="2" l="1"/>
  <c r="E85" i="2"/>
  <c r="C86" i="2" l="1"/>
  <c r="B86" i="2" l="1"/>
  <c r="F86" i="2"/>
  <c r="E86" i="2" l="1"/>
  <c r="G86" i="2"/>
  <c r="C87" i="2" l="1"/>
  <c r="B87" i="2" l="1"/>
  <c r="F87" i="2"/>
  <c r="G87" i="2" l="1"/>
  <c r="E87" i="2"/>
  <c r="C88" i="2" l="1"/>
  <c r="B88" i="2" l="1"/>
  <c r="F88" i="2"/>
  <c r="F20" i="2" l="1"/>
  <c r="E88" i="2"/>
  <c r="G88" i="2"/>
  <c r="G20" i="2" l="1"/>
  <c r="C89" i="2"/>
  <c r="E20" i="2"/>
  <c r="B89" i="2" l="1"/>
  <c r="F89" i="2"/>
  <c r="G89" i="2" l="1"/>
  <c r="E89" i="2"/>
  <c r="C90" i="2" l="1"/>
  <c r="B90" i="2" l="1"/>
  <c r="F90" i="2"/>
  <c r="E90" i="2" l="1"/>
  <c r="G90" i="2"/>
  <c r="C91" i="2" l="1"/>
  <c r="B91" i="2" l="1"/>
  <c r="F91" i="2"/>
  <c r="E91" i="2" l="1"/>
  <c r="G91" i="2"/>
  <c r="C92" i="2" l="1"/>
  <c r="B92" i="2" l="1"/>
  <c r="F92" i="2"/>
  <c r="E92" i="2" l="1"/>
  <c r="G92" i="2"/>
  <c r="C93" i="2" l="1"/>
  <c r="B93" i="2" l="1"/>
  <c r="F93" i="2"/>
  <c r="E93" i="2" l="1"/>
  <c r="G93" i="2"/>
  <c r="C94" i="2" l="1"/>
  <c r="B94" i="2" l="1"/>
  <c r="F94" i="2"/>
  <c r="G94" i="2" l="1"/>
  <c r="E94" i="2"/>
  <c r="C95" i="2" l="1"/>
  <c r="B95" i="2" l="1"/>
  <c r="F95" i="2"/>
  <c r="E95" i="2" l="1"/>
  <c r="G95" i="2"/>
  <c r="C96" i="2" l="1"/>
  <c r="B96" i="2" l="1"/>
  <c r="F96" i="2"/>
  <c r="E96" i="2" l="1"/>
  <c r="G96" i="2"/>
  <c r="C97" i="2" l="1"/>
  <c r="B97" i="2" l="1"/>
  <c r="F97" i="2"/>
  <c r="E97" i="2" l="1"/>
  <c r="G97" i="2"/>
  <c r="C98" i="2" l="1"/>
  <c r="B98" i="2" l="1"/>
  <c r="F98" i="2"/>
  <c r="G98" i="2" l="1"/>
  <c r="E98" i="2"/>
  <c r="C99" i="2" l="1"/>
  <c r="B99" i="2" l="1"/>
  <c r="F99" i="2"/>
  <c r="E99" i="2" l="1"/>
  <c r="G99" i="2"/>
  <c r="C100" i="2" l="1"/>
  <c r="B100" i="2" l="1"/>
  <c r="F100" i="2"/>
  <c r="F21" i="2" l="1"/>
  <c r="E100" i="2"/>
  <c r="G100" i="2"/>
  <c r="G21" i="2" l="1"/>
  <c r="C101" i="2"/>
  <c r="E21" i="2"/>
  <c r="B101" i="2" l="1"/>
  <c r="F101" i="2"/>
  <c r="G101" i="2" l="1"/>
  <c r="E101" i="2"/>
  <c r="C102" i="2" l="1"/>
  <c r="B102" i="2" l="1"/>
  <c r="F102" i="2"/>
  <c r="E102" i="2" l="1"/>
  <c r="G102" i="2"/>
  <c r="C103" i="2" l="1"/>
  <c r="B103" i="2" l="1"/>
  <c r="F103" i="2"/>
  <c r="G103" i="2" l="1"/>
  <c r="E103" i="2"/>
  <c r="C104" i="2" l="1"/>
  <c r="B104" i="2" l="1"/>
  <c r="F104" i="2"/>
  <c r="G104" i="2" l="1"/>
  <c r="E104" i="2"/>
  <c r="C105" i="2" l="1"/>
  <c r="B105" i="2" l="1"/>
  <c r="F105" i="2"/>
  <c r="E105" i="2" l="1"/>
  <c r="G105" i="2"/>
  <c r="C106" i="2" l="1"/>
  <c r="B106" i="2" l="1"/>
  <c r="F106" i="2"/>
  <c r="E106" i="2" l="1"/>
  <c r="G106" i="2"/>
  <c r="C107" i="2" l="1"/>
  <c r="B107" i="2" l="1"/>
  <c r="F107" i="2"/>
  <c r="G107" i="2" l="1"/>
  <c r="E107" i="2"/>
  <c r="C108" i="2" l="1"/>
  <c r="B108" i="2" l="1"/>
  <c r="F108" i="2"/>
  <c r="E108" i="2" l="1"/>
  <c r="G108" i="2"/>
  <c r="C109" i="2" l="1"/>
  <c r="B109" i="2" l="1"/>
  <c r="F109" i="2"/>
  <c r="E109" i="2" l="1"/>
  <c r="G109" i="2"/>
  <c r="C110" i="2" l="1"/>
  <c r="B110" i="2" l="1"/>
  <c r="F110" i="2"/>
  <c r="G110" i="2" l="1"/>
  <c r="E110" i="2"/>
  <c r="C111" i="2" l="1"/>
  <c r="B111" i="2" l="1"/>
  <c r="F111" i="2"/>
  <c r="G111" i="2" l="1"/>
  <c r="E111" i="2"/>
  <c r="C112" i="2" l="1"/>
  <c r="B112" i="2" l="1"/>
  <c r="F112" i="2"/>
  <c r="F22" i="2" l="1"/>
  <c r="E112" i="2"/>
  <c r="G112" i="2"/>
  <c r="G22" i="2" l="1"/>
  <c r="C113" i="2"/>
  <c r="E22" i="2"/>
  <c r="B113" i="2" l="1"/>
  <c r="F113" i="2"/>
  <c r="G113" i="2" l="1"/>
  <c r="E113" i="2"/>
  <c r="C114" i="2" l="1"/>
  <c r="B114" i="2" l="1"/>
  <c r="F114" i="2"/>
  <c r="G114" i="2" l="1"/>
  <c r="E114" i="2"/>
  <c r="C115" i="2" l="1"/>
  <c r="B115" i="2" l="1"/>
  <c r="F115" i="2"/>
  <c r="G115" i="2" l="1"/>
  <c r="E115" i="2"/>
  <c r="C116" i="2" l="1"/>
  <c r="B116" i="2" l="1"/>
  <c r="F116" i="2"/>
  <c r="G116" i="2" l="1"/>
  <c r="E116" i="2"/>
  <c r="C117" i="2" l="1"/>
  <c r="B117" i="2" l="1"/>
  <c r="F117" i="2"/>
  <c r="G117" i="2" l="1"/>
  <c r="E117" i="2"/>
  <c r="C118" i="2" l="1"/>
  <c r="B118" i="2" l="1"/>
  <c r="F118" i="2"/>
  <c r="E118" i="2" l="1"/>
  <c r="G118" i="2"/>
  <c r="C119" i="2" l="1"/>
  <c r="B119" i="2" l="1"/>
  <c r="F119" i="2"/>
  <c r="G119" i="2" l="1"/>
  <c r="E119" i="2"/>
  <c r="C120" i="2" l="1"/>
  <c r="B120" i="2" l="1"/>
  <c r="F120" i="2"/>
  <c r="G120" i="2" l="1"/>
  <c r="E120" i="2"/>
  <c r="C121" i="2" l="1"/>
  <c r="B121" i="2" l="1"/>
  <c r="F121" i="2"/>
  <c r="E121" i="2" l="1"/>
  <c r="G121" i="2"/>
  <c r="C122" i="2" l="1"/>
  <c r="B122" i="2" l="1"/>
  <c r="F122" i="2"/>
  <c r="G122" i="2" l="1"/>
  <c r="E122" i="2"/>
  <c r="C123" i="2" l="1"/>
  <c r="B123" i="2" l="1"/>
  <c r="F123" i="2"/>
  <c r="E123" i="2" l="1"/>
  <c r="G123" i="2"/>
  <c r="C124" i="2" l="1"/>
  <c r="B124" i="2" l="1"/>
  <c r="F124" i="2"/>
  <c r="F23" i="2" l="1"/>
  <c r="G124" i="2"/>
  <c r="E124" i="2"/>
  <c r="C125" i="2" l="1"/>
  <c r="E23" i="2"/>
  <c r="G23" i="2"/>
  <c r="B125" i="2" l="1"/>
  <c r="F125" i="2"/>
  <c r="G125" i="2" l="1"/>
  <c r="E125" i="2"/>
  <c r="C126" i="2" l="1"/>
  <c r="B126" i="2" l="1"/>
  <c r="F126" i="2"/>
  <c r="G126" i="2" l="1"/>
  <c r="E126" i="2"/>
  <c r="C127" i="2" l="1"/>
  <c r="B127" i="2" l="1"/>
  <c r="F127" i="2"/>
  <c r="G127" i="2" l="1"/>
  <c r="E127" i="2"/>
  <c r="C128" i="2" l="1"/>
  <c r="B128" i="2" l="1"/>
  <c r="F128" i="2"/>
  <c r="E128" i="2" l="1"/>
  <c r="G128" i="2"/>
  <c r="C129" i="2" l="1"/>
  <c r="B129" i="2" l="1"/>
  <c r="F129" i="2"/>
  <c r="G129" i="2" l="1"/>
  <c r="E129" i="2"/>
  <c r="C130" i="2" l="1"/>
  <c r="B130" i="2" l="1"/>
  <c r="F130" i="2"/>
  <c r="E130" i="2" l="1"/>
  <c r="G130" i="2"/>
  <c r="C131" i="2" l="1"/>
  <c r="B131" i="2" l="1"/>
  <c r="F131" i="2"/>
  <c r="E131" i="2" l="1"/>
  <c r="G131" i="2"/>
  <c r="C132" i="2" l="1"/>
  <c r="B132" i="2" l="1"/>
  <c r="F132" i="2"/>
  <c r="G132" i="2" l="1"/>
  <c r="E132" i="2"/>
  <c r="C133" i="2" l="1"/>
  <c r="B133" i="2" l="1"/>
  <c r="F133" i="2"/>
  <c r="E133" i="2" l="1"/>
  <c r="G133" i="2"/>
  <c r="C134" i="2" l="1"/>
  <c r="B134" i="2" l="1"/>
  <c r="F134" i="2"/>
  <c r="G134" i="2" l="1"/>
  <c r="E134" i="2"/>
  <c r="C135" i="2" l="1"/>
  <c r="B135" i="2" l="1"/>
  <c r="F135" i="2"/>
  <c r="G135" i="2" l="1"/>
  <c r="E135" i="2"/>
  <c r="C136" i="2" l="1"/>
  <c r="B136" i="2" l="1"/>
  <c r="F136" i="2"/>
  <c r="F24" i="2" l="1"/>
  <c r="G136" i="2"/>
  <c r="E136" i="2"/>
  <c r="C137" i="2" l="1"/>
  <c r="E24" i="2"/>
  <c r="G24" i="2"/>
  <c r="B137" i="2" l="1"/>
  <c r="F137" i="2"/>
  <c r="G137" i="2" l="1"/>
  <c r="E137" i="2"/>
  <c r="C138" i="2" l="1"/>
  <c r="B138" i="2" l="1"/>
  <c r="F138" i="2"/>
  <c r="G138" i="2" l="1"/>
  <c r="E138" i="2"/>
  <c r="C139" i="2" l="1"/>
  <c r="B139" i="2" l="1"/>
  <c r="F139" i="2"/>
  <c r="G139" i="2" l="1"/>
  <c r="E139" i="2"/>
  <c r="C140" i="2" l="1"/>
  <c r="B140" i="2" l="1"/>
  <c r="F140" i="2"/>
  <c r="G140" i="2" l="1"/>
  <c r="E140" i="2"/>
  <c r="C141" i="2" l="1"/>
  <c r="B141" i="2" l="1"/>
  <c r="F141" i="2"/>
  <c r="G141" i="2" l="1"/>
  <c r="E141" i="2"/>
  <c r="C142" i="2" l="1"/>
  <c r="B142" i="2" l="1"/>
  <c r="F142" i="2"/>
  <c r="G142" i="2" l="1"/>
  <c r="E142" i="2"/>
  <c r="C143" i="2" l="1"/>
  <c r="B143" i="2" l="1"/>
  <c r="F143" i="2"/>
  <c r="G143" i="2" l="1"/>
  <c r="E143" i="2"/>
  <c r="C144" i="2" l="1"/>
  <c r="B144" i="2" l="1"/>
  <c r="F144" i="2"/>
  <c r="G144" i="2" l="1"/>
  <c r="E144" i="2"/>
  <c r="C145" i="2" l="1"/>
  <c r="B145" i="2" l="1"/>
  <c r="F145" i="2"/>
  <c r="G145" i="2" l="1"/>
  <c r="E145" i="2"/>
  <c r="C146" i="2" l="1"/>
  <c r="B146" i="2" l="1"/>
  <c r="F146" i="2"/>
  <c r="G146" i="2" l="1"/>
  <c r="E146" i="2"/>
  <c r="C147" i="2" l="1"/>
  <c r="B147" i="2" l="1"/>
  <c r="F147" i="2"/>
  <c r="G147" i="2" l="1"/>
  <c r="E147" i="2"/>
  <c r="C148" i="2" l="1"/>
  <c r="B148" i="2" l="1"/>
  <c r="F148" i="2"/>
  <c r="E148" i="2" l="1"/>
  <c r="G148" i="2"/>
  <c r="F25" i="2"/>
  <c r="G25" i="2" l="1"/>
  <c r="E25" i="2"/>
  <c r="C149" i="2"/>
  <c r="B149" i="2" l="1"/>
  <c r="F149" i="2"/>
  <c r="E149" i="2" l="1"/>
  <c r="G149" i="2"/>
  <c r="C150" i="2" l="1"/>
  <c r="B150" i="2" l="1"/>
  <c r="F150" i="2"/>
  <c r="G150" i="2" l="1"/>
  <c r="E150" i="2"/>
  <c r="C151" i="2" l="1"/>
  <c r="B151" i="2" l="1"/>
  <c r="F151" i="2"/>
  <c r="G151" i="2" l="1"/>
  <c r="E151" i="2"/>
  <c r="C152" i="2" l="1"/>
  <c r="B152" i="2" l="1"/>
  <c r="F152" i="2"/>
  <c r="G152" i="2" l="1"/>
  <c r="E152" i="2"/>
  <c r="C153" i="2" l="1"/>
  <c r="B153" i="2" l="1"/>
  <c r="F153" i="2"/>
  <c r="E153" i="2" l="1"/>
  <c r="G153" i="2"/>
  <c r="C154" i="2" l="1"/>
  <c r="B154" i="2" l="1"/>
  <c r="F154" i="2"/>
  <c r="G154" i="2" l="1"/>
  <c r="E154" i="2"/>
  <c r="C155" i="2" l="1"/>
  <c r="B155" i="2" l="1"/>
  <c r="F155" i="2"/>
  <c r="E155" i="2" l="1"/>
  <c r="G155" i="2"/>
  <c r="C156" i="2" l="1"/>
  <c r="B156" i="2" l="1"/>
  <c r="F156" i="2"/>
  <c r="G156" i="2" l="1"/>
  <c r="E156" i="2"/>
  <c r="C157" i="2" l="1"/>
  <c r="B157" i="2" l="1"/>
  <c r="F157" i="2"/>
  <c r="E157" i="2" l="1"/>
  <c r="G157" i="2"/>
  <c r="C158" i="2" l="1"/>
  <c r="B158" i="2" l="1"/>
  <c r="F158" i="2"/>
  <c r="G158" i="2" l="1"/>
  <c r="E158" i="2"/>
  <c r="C159" i="2" l="1"/>
  <c r="B159" i="2" l="1"/>
  <c r="F159" i="2"/>
  <c r="E159" i="2" l="1"/>
  <c r="G159" i="2"/>
  <c r="C160" i="2" l="1"/>
  <c r="B160" i="2" l="1"/>
  <c r="F160" i="2"/>
  <c r="E160" i="2" l="1"/>
  <c r="G160" i="2"/>
  <c r="F26" i="2"/>
  <c r="C161" i="2" l="1"/>
  <c r="E26" i="2"/>
  <c r="G26" i="2"/>
  <c r="B161" i="2" l="1"/>
  <c r="F161" i="2"/>
  <c r="E161" i="2" l="1"/>
  <c r="G161" i="2"/>
  <c r="C162" i="2" l="1"/>
  <c r="B162" i="2" l="1"/>
  <c r="F162" i="2"/>
  <c r="E162" i="2" l="1"/>
  <c r="G162" i="2"/>
  <c r="C163" i="2" l="1"/>
  <c r="B163" i="2" l="1"/>
  <c r="F163" i="2"/>
  <c r="E163" i="2" l="1"/>
  <c r="G163" i="2"/>
  <c r="C164" i="2" l="1"/>
  <c r="B164" i="2" l="1"/>
  <c r="F164" i="2"/>
  <c r="E164" i="2" l="1"/>
  <c r="G164" i="2"/>
  <c r="C165" i="2" l="1"/>
  <c r="B165" i="2" l="1"/>
  <c r="F165" i="2"/>
  <c r="G165" i="2" l="1"/>
  <c r="E165" i="2"/>
  <c r="C166" i="2" l="1"/>
  <c r="B166" i="2" l="1"/>
  <c r="F166" i="2"/>
  <c r="G166" i="2" l="1"/>
  <c r="E166" i="2"/>
  <c r="C167" i="2" l="1"/>
  <c r="B167" i="2" l="1"/>
  <c r="F167" i="2"/>
  <c r="G167" i="2" l="1"/>
  <c r="E167" i="2"/>
  <c r="C168" i="2" l="1"/>
  <c r="B168" i="2" l="1"/>
  <c r="F168" i="2"/>
  <c r="G168" i="2" l="1"/>
  <c r="E168" i="2"/>
  <c r="C169" i="2" l="1"/>
  <c r="B169" i="2" l="1"/>
  <c r="F169" i="2"/>
  <c r="G169" i="2" l="1"/>
  <c r="E169" i="2"/>
  <c r="C170" i="2" l="1"/>
  <c r="B170" i="2" l="1"/>
  <c r="F170" i="2"/>
  <c r="E170" i="2" l="1"/>
  <c r="G170" i="2"/>
  <c r="C171" i="2" l="1"/>
  <c r="C19" i="2"/>
  <c r="C20" i="2"/>
  <c r="C21" i="2"/>
  <c r="C22" i="2"/>
  <c r="C23" i="2"/>
  <c r="C24" i="2"/>
  <c r="C25" i="2"/>
  <c r="C26" i="2"/>
  <c r="B171" i="2" l="1"/>
  <c r="F171" i="2"/>
  <c r="B19" i="2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G171" i="2" l="1"/>
  <c r="E171" i="2"/>
  <c r="D19" i="2"/>
  <c r="C172" i="2" l="1"/>
  <c r="B172" i="2" l="1"/>
  <c r="C27" i="2"/>
  <c r="F172" i="2"/>
  <c r="F27" i="2" l="1"/>
  <c r="B27" i="2"/>
  <c r="D27" i="2" s="1"/>
  <c r="E172" i="2"/>
  <c r="G172" i="2"/>
  <c r="G27" i="2" l="1"/>
  <c r="C173" i="2"/>
  <c r="E27" i="2"/>
  <c r="B173" i="2" l="1"/>
  <c r="F173" i="2"/>
  <c r="E173" i="2" l="1"/>
  <c r="G173" i="2"/>
  <c r="C174" i="2" l="1"/>
  <c r="B174" i="2" l="1"/>
  <c r="F174" i="2"/>
  <c r="G174" i="2" l="1"/>
  <c r="E174" i="2"/>
  <c r="C175" i="2" l="1"/>
  <c r="B175" i="2" l="1"/>
  <c r="F175" i="2"/>
  <c r="G175" i="2" l="1"/>
  <c r="E175" i="2"/>
  <c r="C176" i="2" l="1"/>
  <c r="B176" i="2" l="1"/>
  <c r="F176" i="2"/>
  <c r="G176" i="2" l="1"/>
  <c r="E176" i="2"/>
  <c r="C177" i="2" l="1"/>
  <c r="B177" i="2" l="1"/>
  <c r="F177" i="2"/>
  <c r="E177" i="2" l="1"/>
  <c r="G177" i="2"/>
  <c r="C178" i="2" l="1"/>
  <c r="B178" i="2" l="1"/>
  <c r="F178" i="2"/>
  <c r="G178" i="2" l="1"/>
  <c r="E178" i="2"/>
  <c r="C179" i="2" l="1"/>
  <c r="B179" i="2" l="1"/>
  <c r="F179" i="2"/>
  <c r="E179" i="2" l="1"/>
  <c r="G179" i="2"/>
  <c r="C180" i="2" l="1"/>
  <c r="B180" i="2" l="1"/>
  <c r="F180" i="2"/>
  <c r="G180" i="2" l="1"/>
  <c r="E180" i="2"/>
  <c r="C181" i="2" l="1"/>
  <c r="B181" i="2" l="1"/>
  <c r="F181" i="2"/>
  <c r="G181" i="2" l="1"/>
  <c r="E181" i="2"/>
  <c r="C182" i="2" l="1"/>
  <c r="B182" i="2" l="1"/>
  <c r="F182" i="2"/>
  <c r="G182" i="2" l="1"/>
  <c r="E182" i="2"/>
  <c r="C183" i="2" l="1"/>
  <c r="B183" i="2" l="1"/>
  <c r="F183" i="2"/>
  <c r="G183" i="2" l="1"/>
  <c r="E183" i="2"/>
  <c r="C184" i="2" l="1"/>
  <c r="B184" i="2" l="1"/>
  <c r="F184" i="2"/>
  <c r="F28" i="2" l="1"/>
  <c r="E184" i="2"/>
  <c r="G184" i="2"/>
  <c r="G28" i="2" l="1"/>
  <c r="C185" i="2"/>
  <c r="E28" i="2"/>
  <c r="B185" i="2" l="1"/>
  <c r="F185" i="2"/>
  <c r="G185" i="2" l="1"/>
  <c r="E185" i="2"/>
  <c r="C186" i="2" l="1"/>
  <c r="B186" i="2" l="1"/>
  <c r="F186" i="2"/>
  <c r="E186" i="2" l="1"/>
  <c r="G186" i="2"/>
  <c r="C187" i="2" l="1"/>
  <c r="B187" i="2" l="1"/>
  <c r="F187" i="2"/>
  <c r="G187" i="2" l="1"/>
  <c r="E187" i="2"/>
  <c r="C188" i="2" l="1"/>
  <c r="B188" i="2" l="1"/>
  <c r="F188" i="2"/>
  <c r="E188" i="2" l="1"/>
  <c r="G188" i="2"/>
  <c r="C189" i="2" l="1"/>
  <c r="B189" i="2" l="1"/>
  <c r="F189" i="2"/>
  <c r="E189" i="2" l="1"/>
  <c r="G189" i="2"/>
  <c r="C190" i="2" l="1"/>
  <c r="B190" i="2" l="1"/>
  <c r="F190" i="2"/>
  <c r="G190" i="2" l="1"/>
  <c r="E190" i="2"/>
  <c r="C191" i="2" l="1"/>
  <c r="B191" i="2" l="1"/>
  <c r="F191" i="2"/>
  <c r="G191" i="2" l="1"/>
  <c r="E191" i="2"/>
  <c r="C192" i="2" l="1"/>
  <c r="B192" i="2" l="1"/>
  <c r="F192" i="2"/>
  <c r="E192" i="2" l="1"/>
  <c r="G192" i="2"/>
  <c r="C193" i="2" l="1"/>
  <c r="B193" i="2" l="1"/>
  <c r="F193" i="2"/>
  <c r="G193" i="2" l="1"/>
  <c r="E193" i="2"/>
  <c r="C194" i="2" l="1"/>
  <c r="B194" i="2" l="1"/>
  <c r="F194" i="2"/>
  <c r="G194" i="2" l="1"/>
  <c r="E194" i="2"/>
  <c r="C195" i="2" l="1"/>
  <c r="B195" i="2" l="1"/>
  <c r="F195" i="2"/>
  <c r="E195" i="2" l="1"/>
  <c r="G195" i="2"/>
  <c r="C196" i="2" l="1"/>
  <c r="B196" i="2" l="1"/>
  <c r="F196" i="2"/>
  <c r="F29" i="2" l="1"/>
  <c r="G196" i="2"/>
  <c r="E196" i="2"/>
  <c r="E29" i="2" l="1"/>
  <c r="C197" i="2"/>
  <c r="G29" i="2"/>
  <c r="B197" i="2" l="1"/>
  <c r="F197" i="2"/>
  <c r="G197" i="2" l="1"/>
  <c r="E197" i="2"/>
  <c r="C198" i="2" l="1"/>
  <c r="B198" i="2" l="1"/>
  <c r="F198" i="2"/>
  <c r="G198" i="2" l="1"/>
  <c r="E198" i="2"/>
  <c r="C199" i="2" l="1"/>
  <c r="B199" i="2" l="1"/>
  <c r="F199" i="2"/>
  <c r="E199" i="2" l="1"/>
  <c r="G199" i="2"/>
  <c r="C200" i="2" l="1"/>
  <c r="B200" i="2" l="1"/>
  <c r="F200" i="2"/>
  <c r="G200" i="2" l="1"/>
  <c r="E200" i="2"/>
  <c r="C201" i="2" l="1"/>
  <c r="B201" i="2" l="1"/>
  <c r="F201" i="2"/>
  <c r="E201" i="2" l="1"/>
  <c r="G201" i="2"/>
  <c r="C202" i="2" l="1"/>
  <c r="B202" i="2" l="1"/>
  <c r="F202" i="2"/>
  <c r="G202" i="2" l="1"/>
  <c r="E202" i="2"/>
  <c r="C203" i="2" l="1"/>
  <c r="B203" i="2" l="1"/>
  <c r="F203" i="2"/>
  <c r="E203" i="2" l="1"/>
  <c r="G203" i="2"/>
  <c r="C204" i="2" l="1"/>
  <c r="B204" i="2" l="1"/>
  <c r="F204" i="2"/>
  <c r="G204" i="2" l="1"/>
  <c r="E204" i="2"/>
  <c r="C205" i="2" l="1"/>
  <c r="B205" i="2" l="1"/>
  <c r="F205" i="2"/>
  <c r="E205" i="2" l="1"/>
  <c r="G205" i="2"/>
  <c r="C206" i="2" l="1"/>
  <c r="B206" i="2" l="1"/>
  <c r="F206" i="2"/>
  <c r="G206" i="2" l="1"/>
  <c r="E206" i="2"/>
  <c r="C207" i="2" l="1"/>
  <c r="B207" i="2" l="1"/>
  <c r="F207" i="2"/>
  <c r="G207" i="2" l="1"/>
  <c r="E207" i="2"/>
  <c r="C208" i="2" l="1"/>
  <c r="B208" i="2" l="1"/>
  <c r="F208" i="2"/>
  <c r="F30" i="2" l="1"/>
  <c r="E208" i="2"/>
  <c r="G208" i="2"/>
  <c r="G30" i="2" l="1"/>
  <c r="C209" i="2"/>
  <c r="E30" i="2"/>
  <c r="B209" i="2" l="1"/>
  <c r="F209" i="2"/>
  <c r="E209" i="2" l="1"/>
  <c r="G209" i="2"/>
  <c r="C210" i="2" l="1"/>
  <c r="B210" i="2" l="1"/>
  <c r="F210" i="2"/>
  <c r="G210" i="2" l="1"/>
  <c r="E210" i="2"/>
  <c r="C211" i="2" l="1"/>
  <c r="B211" i="2" l="1"/>
  <c r="F211" i="2"/>
  <c r="G211" i="2" l="1"/>
  <c r="E211" i="2"/>
  <c r="C212" i="2" l="1"/>
  <c r="B212" i="2" l="1"/>
  <c r="F212" i="2"/>
  <c r="E212" i="2" l="1"/>
  <c r="G212" i="2"/>
  <c r="C213" i="2" l="1"/>
  <c r="B213" i="2" l="1"/>
  <c r="F213" i="2"/>
  <c r="G213" i="2" l="1"/>
  <c r="E213" i="2"/>
  <c r="C214" i="2" l="1"/>
  <c r="B214" i="2" l="1"/>
  <c r="F214" i="2"/>
  <c r="E214" i="2" l="1"/>
  <c r="G214" i="2"/>
  <c r="C215" i="2" l="1"/>
  <c r="B215" i="2" l="1"/>
  <c r="F215" i="2"/>
  <c r="G215" i="2" l="1"/>
  <c r="E215" i="2"/>
  <c r="C216" i="2" l="1"/>
  <c r="B216" i="2" l="1"/>
  <c r="F216" i="2"/>
  <c r="E216" i="2" l="1"/>
  <c r="G216" i="2"/>
  <c r="C217" i="2" l="1"/>
  <c r="B217" i="2" l="1"/>
  <c r="F217" i="2"/>
  <c r="G217" i="2" l="1"/>
  <c r="E217" i="2"/>
  <c r="C218" i="2" l="1"/>
  <c r="B218" i="2" l="1"/>
  <c r="F218" i="2"/>
  <c r="E218" i="2" l="1"/>
  <c r="G218" i="2"/>
  <c r="C219" i="2" l="1"/>
  <c r="B219" i="2" l="1"/>
  <c r="F219" i="2"/>
  <c r="G219" i="2" l="1"/>
  <c r="E219" i="2"/>
  <c r="C220" i="2" l="1"/>
  <c r="B220" i="2" l="1"/>
  <c r="F220" i="2"/>
  <c r="F31" i="2" l="1"/>
  <c r="E220" i="2"/>
  <c r="G220" i="2"/>
  <c r="G31" i="2" l="1"/>
  <c r="E31" i="2"/>
  <c r="C221" i="2"/>
  <c r="B221" i="2" l="1"/>
  <c r="F221" i="2"/>
  <c r="G221" i="2" l="1"/>
  <c r="E221" i="2"/>
  <c r="C222" i="2" l="1"/>
  <c r="B222" i="2" l="1"/>
  <c r="F222" i="2"/>
  <c r="E222" i="2" l="1"/>
  <c r="G222" i="2"/>
  <c r="C223" i="2" l="1"/>
  <c r="B223" i="2" l="1"/>
  <c r="F223" i="2"/>
  <c r="G223" i="2" l="1"/>
  <c r="E223" i="2"/>
  <c r="C224" i="2" l="1"/>
  <c r="B224" i="2" l="1"/>
  <c r="F224" i="2"/>
  <c r="E224" i="2" l="1"/>
  <c r="G224" i="2"/>
  <c r="C225" i="2" l="1"/>
  <c r="B225" i="2" l="1"/>
  <c r="F225" i="2"/>
  <c r="G225" i="2" l="1"/>
  <c r="E225" i="2"/>
  <c r="C226" i="2" l="1"/>
  <c r="B226" i="2" l="1"/>
  <c r="F226" i="2"/>
  <c r="E226" i="2" l="1"/>
  <c r="G226" i="2"/>
  <c r="C227" i="2" l="1"/>
  <c r="B227" i="2" l="1"/>
  <c r="F227" i="2"/>
  <c r="G227" i="2" l="1"/>
  <c r="E227" i="2"/>
  <c r="C228" i="2" l="1"/>
  <c r="B228" i="2" l="1"/>
  <c r="F228" i="2"/>
  <c r="G228" i="2" l="1"/>
  <c r="E228" i="2"/>
  <c r="C229" i="2" l="1"/>
  <c r="B229" i="2" l="1"/>
  <c r="F229" i="2"/>
  <c r="E229" i="2" l="1"/>
  <c r="G229" i="2"/>
  <c r="C230" i="2" l="1"/>
  <c r="B230" i="2" l="1"/>
  <c r="F230" i="2"/>
  <c r="G230" i="2" l="1"/>
  <c r="E230" i="2"/>
  <c r="C231" i="2" l="1"/>
  <c r="B231" i="2" l="1"/>
  <c r="F231" i="2"/>
  <c r="G231" i="2" l="1"/>
  <c r="E231" i="2"/>
  <c r="C232" i="2" l="1"/>
  <c r="B232" i="2" l="1"/>
  <c r="F232" i="2"/>
  <c r="F32" i="2" l="1"/>
  <c r="G232" i="2"/>
  <c r="E232" i="2"/>
  <c r="C233" i="2" l="1"/>
  <c r="E32" i="2"/>
  <c r="G32" i="2"/>
  <c r="B233" i="2" l="1"/>
  <c r="F233" i="2"/>
  <c r="G233" i="2" l="1"/>
  <c r="E233" i="2"/>
  <c r="C234" i="2" l="1"/>
  <c r="B234" i="2" l="1"/>
  <c r="F234" i="2"/>
  <c r="G234" i="2" l="1"/>
  <c r="E234" i="2"/>
  <c r="C235" i="2" l="1"/>
  <c r="B235" i="2" l="1"/>
  <c r="F235" i="2"/>
  <c r="G235" i="2" l="1"/>
  <c r="E235" i="2"/>
  <c r="C236" i="2" l="1"/>
  <c r="B236" i="2" l="1"/>
  <c r="F236" i="2"/>
  <c r="E236" i="2" l="1"/>
  <c r="G236" i="2"/>
  <c r="C237" i="2" l="1"/>
  <c r="B237" i="2" l="1"/>
  <c r="F237" i="2"/>
  <c r="G237" i="2" l="1"/>
  <c r="E237" i="2"/>
  <c r="C238" i="2" l="1"/>
  <c r="B238" i="2" l="1"/>
  <c r="F238" i="2"/>
  <c r="E238" i="2" l="1"/>
  <c r="G238" i="2"/>
  <c r="C239" i="2" l="1"/>
  <c r="B239" i="2" l="1"/>
  <c r="F239" i="2"/>
  <c r="E239" i="2" l="1"/>
  <c r="G239" i="2"/>
  <c r="C240" i="2" l="1"/>
  <c r="B240" i="2" l="1"/>
  <c r="F240" i="2"/>
  <c r="G240" i="2" l="1"/>
  <c r="E240" i="2"/>
  <c r="C241" i="2" l="1"/>
  <c r="B241" i="2" l="1"/>
  <c r="F241" i="2"/>
  <c r="G241" i="2" l="1"/>
  <c r="E241" i="2"/>
  <c r="C242" i="2" l="1"/>
  <c r="B242" i="2" l="1"/>
  <c r="F242" i="2"/>
  <c r="E242" i="2" l="1"/>
  <c r="G242" i="2"/>
  <c r="C243" i="2" l="1"/>
  <c r="B243" i="2" l="1"/>
  <c r="F243" i="2"/>
  <c r="G243" i="2" l="1"/>
  <c r="E243" i="2"/>
  <c r="C244" i="2" l="1"/>
  <c r="B244" i="2" l="1"/>
  <c r="F244" i="2"/>
  <c r="F33" i="2" l="1"/>
  <c r="E244" i="2"/>
  <c r="G244" i="2"/>
  <c r="G33" i="2" l="1"/>
  <c r="E33" i="2"/>
  <c r="C245" i="2"/>
  <c r="B245" i="2" l="1"/>
  <c r="F245" i="2"/>
  <c r="G245" i="2" l="1"/>
  <c r="E245" i="2"/>
  <c r="C246" i="2" l="1"/>
  <c r="B246" i="2" l="1"/>
  <c r="F246" i="2"/>
  <c r="E246" i="2" l="1"/>
  <c r="G246" i="2"/>
  <c r="C247" i="2" l="1"/>
  <c r="B247" i="2" l="1"/>
  <c r="F247" i="2"/>
  <c r="G247" i="2" l="1"/>
  <c r="E247" i="2"/>
  <c r="C248" i="2" l="1"/>
  <c r="B248" i="2" l="1"/>
  <c r="F248" i="2"/>
  <c r="G248" i="2" l="1"/>
  <c r="E248" i="2"/>
  <c r="C249" i="2" l="1"/>
  <c r="B249" i="2" l="1"/>
  <c r="F249" i="2"/>
  <c r="E249" i="2" l="1"/>
  <c r="G249" i="2"/>
  <c r="C250" i="2" l="1"/>
  <c r="B250" i="2" l="1"/>
  <c r="F250" i="2"/>
  <c r="G250" i="2" l="1"/>
  <c r="E250" i="2"/>
  <c r="C251" i="2" l="1"/>
  <c r="B251" i="2" l="1"/>
  <c r="F251" i="2"/>
  <c r="E251" i="2" l="1"/>
  <c r="G251" i="2"/>
  <c r="C252" i="2" l="1"/>
  <c r="B252" i="2" l="1"/>
  <c r="F252" i="2"/>
  <c r="G252" i="2" l="1"/>
  <c r="E252" i="2"/>
  <c r="C253" i="2" l="1"/>
  <c r="B253" i="2" l="1"/>
  <c r="F253" i="2"/>
  <c r="G253" i="2" l="1"/>
  <c r="E253" i="2"/>
  <c r="C254" i="2" l="1"/>
  <c r="B254" i="2" l="1"/>
  <c r="F254" i="2"/>
  <c r="G254" i="2" l="1"/>
  <c r="E254" i="2"/>
  <c r="C255" i="2" l="1"/>
  <c r="B255" i="2" l="1"/>
  <c r="F255" i="2"/>
  <c r="E255" i="2" l="1"/>
  <c r="G255" i="2"/>
  <c r="C256" i="2" l="1"/>
  <c r="B256" i="2" l="1"/>
  <c r="F256" i="2"/>
  <c r="F34" i="2" l="1"/>
  <c r="G256" i="2"/>
  <c r="E256" i="2"/>
  <c r="G34" i="2" l="1"/>
  <c r="E34" i="2"/>
  <c r="C257" i="2"/>
  <c r="B257" i="2" l="1"/>
  <c r="F257" i="2"/>
  <c r="G257" i="2" l="1"/>
  <c r="E257" i="2"/>
  <c r="C258" i="2" l="1"/>
  <c r="B258" i="2" l="1"/>
  <c r="F258" i="2"/>
  <c r="G258" i="2" l="1"/>
  <c r="E258" i="2"/>
  <c r="C259" i="2" l="1"/>
  <c r="B259" i="2" l="1"/>
  <c r="F259" i="2"/>
  <c r="E259" i="2" l="1"/>
  <c r="G259" i="2"/>
  <c r="C260" i="2" l="1"/>
  <c r="B260" i="2" l="1"/>
  <c r="F260" i="2"/>
  <c r="G260" i="2" l="1"/>
  <c r="E260" i="2"/>
  <c r="C261" i="2" l="1"/>
  <c r="B261" i="2" l="1"/>
  <c r="F261" i="2"/>
  <c r="E261" i="2" l="1"/>
  <c r="G261" i="2"/>
  <c r="C262" i="2" l="1"/>
  <c r="B262" i="2" l="1"/>
  <c r="F262" i="2"/>
  <c r="G262" i="2" l="1"/>
  <c r="E262" i="2"/>
  <c r="C263" i="2" l="1"/>
  <c r="B263" i="2" l="1"/>
  <c r="F263" i="2"/>
  <c r="E263" i="2" l="1"/>
  <c r="G263" i="2"/>
  <c r="C264" i="2" l="1"/>
  <c r="B264" i="2" l="1"/>
  <c r="F264" i="2"/>
  <c r="G264" i="2" l="1"/>
  <c r="E264" i="2"/>
  <c r="C265" i="2" l="1"/>
  <c r="B265" i="2" l="1"/>
  <c r="F265" i="2"/>
  <c r="G265" i="2" l="1"/>
  <c r="E265" i="2"/>
  <c r="C266" i="2" l="1"/>
  <c r="B266" i="2" l="1"/>
  <c r="F266" i="2"/>
  <c r="G266" i="2" l="1"/>
  <c r="E266" i="2"/>
  <c r="C267" i="2" l="1"/>
  <c r="B267" i="2" l="1"/>
  <c r="F267" i="2"/>
  <c r="G267" i="2" l="1"/>
  <c r="E267" i="2"/>
  <c r="C268" i="2" l="1"/>
  <c r="B268" i="2" l="1"/>
  <c r="F268" i="2"/>
  <c r="F35" i="2" l="1"/>
  <c r="G268" i="2"/>
  <c r="E268" i="2"/>
  <c r="E35" i="2" l="1"/>
  <c r="C269" i="2"/>
  <c r="G35" i="2"/>
  <c r="B269" i="2" l="1"/>
  <c r="F269" i="2"/>
  <c r="E269" i="2" l="1"/>
  <c r="G269" i="2"/>
  <c r="C270" i="2" l="1"/>
  <c r="B270" i="2" l="1"/>
  <c r="F270" i="2"/>
  <c r="G270" i="2" l="1"/>
  <c r="E270" i="2"/>
  <c r="C271" i="2" l="1"/>
  <c r="B271" i="2" l="1"/>
  <c r="F271" i="2"/>
  <c r="G271" i="2" l="1"/>
  <c r="E271" i="2"/>
  <c r="C272" i="2" l="1"/>
  <c r="B272" i="2" l="1"/>
  <c r="F272" i="2"/>
  <c r="G272" i="2" l="1"/>
  <c r="E272" i="2"/>
  <c r="C273" i="2" l="1"/>
  <c r="B273" i="2" l="1"/>
  <c r="F273" i="2"/>
  <c r="E273" i="2" l="1"/>
  <c r="G273" i="2"/>
  <c r="C274" i="2" l="1"/>
  <c r="B274" i="2" l="1"/>
  <c r="F274" i="2"/>
  <c r="G274" i="2" l="1"/>
  <c r="E274" i="2"/>
  <c r="C275" i="2" l="1"/>
  <c r="B275" i="2" l="1"/>
  <c r="F275" i="2"/>
  <c r="G275" i="2" l="1"/>
  <c r="E275" i="2"/>
  <c r="C276" i="2" l="1"/>
  <c r="B276" i="2" l="1"/>
  <c r="F276" i="2"/>
  <c r="G276" i="2" l="1"/>
  <c r="E276" i="2"/>
  <c r="C277" i="2" l="1"/>
  <c r="B277" i="2" l="1"/>
  <c r="F277" i="2"/>
  <c r="G277" i="2" l="1"/>
  <c r="E277" i="2"/>
  <c r="C278" i="2" l="1"/>
  <c r="B278" i="2" l="1"/>
  <c r="F278" i="2"/>
  <c r="E278" i="2" l="1"/>
  <c r="G278" i="2"/>
  <c r="C279" i="2" l="1"/>
  <c r="B279" i="2" l="1"/>
  <c r="F279" i="2"/>
  <c r="G279" i="2" l="1"/>
  <c r="E279" i="2"/>
  <c r="C280" i="2" l="1"/>
  <c r="B280" i="2" l="1"/>
  <c r="F280" i="2"/>
  <c r="F36" i="2" l="1"/>
  <c r="G280" i="2"/>
  <c r="E280" i="2"/>
  <c r="C281" i="2" l="1"/>
  <c r="E36" i="2"/>
  <c r="G36" i="2"/>
  <c r="B281" i="2" l="1"/>
  <c r="F281" i="2"/>
  <c r="G281" i="2" l="1"/>
  <c r="E281" i="2"/>
  <c r="C282" i="2" l="1"/>
  <c r="B282" i="2" l="1"/>
  <c r="F282" i="2"/>
  <c r="E282" i="2" l="1"/>
  <c r="G282" i="2"/>
  <c r="C283" i="2" l="1"/>
  <c r="B283" i="2" l="1"/>
  <c r="F283" i="2"/>
  <c r="E283" i="2" l="1"/>
  <c r="G283" i="2"/>
  <c r="C284" i="2" l="1"/>
  <c r="B284" i="2" l="1"/>
  <c r="F284" i="2"/>
  <c r="G284" i="2" l="1"/>
  <c r="E284" i="2"/>
  <c r="C285" i="2" l="1"/>
  <c r="B285" i="2" l="1"/>
  <c r="F285" i="2"/>
  <c r="E285" i="2" l="1"/>
  <c r="G285" i="2"/>
  <c r="C286" i="2" l="1"/>
  <c r="B286" i="2" l="1"/>
  <c r="F286" i="2"/>
  <c r="G286" i="2" l="1"/>
  <c r="E286" i="2"/>
  <c r="C287" i="2" l="1"/>
  <c r="B287" i="2" l="1"/>
  <c r="F287" i="2"/>
  <c r="E287" i="2" l="1"/>
  <c r="G287" i="2"/>
  <c r="C288" i="2" l="1"/>
  <c r="B288" i="2" l="1"/>
  <c r="F288" i="2"/>
  <c r="G288" i="2" l="1"/>
  <c r="E288" i="2"/>
  <c r="C289" i="2" l="1"/>
  <c r="B289" i="2" l="1"/>
  <c r="F289" i="2"/>
  <c r="G289" i="2" l="1"/>
  <c r="E289" i="2"/>
  <c r="C290" i="2" l="1"/>
  <c r="B290" i="2" l="1"/>
  <c r="F290" i="2"/>
  <c r="E290" i="2" l="1"/>
  <c r="G290" i="2"/>
  <c r="C291" i="2" l="1"/>
  <c r="B291" i="2" l="1"/>
  <c r="F291" i="2"/>
  <c r="E291" i="2" l="1"/>
  <c r="G291" i="2"/>
  <c r="C292" i="2" l="1"/>
  <c r="C18" i="2" l="1"/>
  <c r="B292" i="2"/>
  <c r="F292" i="2"/>
  <c r="F37" i="2" l="1"/>
  <c r="B18" i="2"/>
  <c r="D18" i="2" s="1"/>
  <c r="G292" i="2"/>
  <c r="E292" i="2"/>
  <c r="C28" i="2"/>
  <c r="C29" i="2"/>
  <c r="C30" i="2"/>
  <c r="C31" i="2"/>
  <c r="C32" i="2"/>
  <c r="C33" i="2"/>
  <c r="C34" i="2"/>
  <c r="C35" i="2"/>
  <c r="C36" i="2"/>
  <c r="C37" i="2"/>
  <c r="E37" i="2" l="1"/>
  <c r="C293" i="2"/>
  <c r="G37" i="2"/>
  <c r="B28" i="2"/>
  <c r="D28" i="2" s="1"/>
  <c r="B29" i="2"/>
  <c r="D29" i="2" s="1"/>
  <c r="B30" i="2"/>
  <c r="D30" i="2" s="1"/>
  <c r="B31" i="2"/>
  <c r="D31" i="2" s="1"/>
  <c r="B32" i="2"/>
  <c r="D32" i="2" s="1"/>
  <c r="B33" i="2"/>
  <c r="D33" i="2" s="1"/>
  <c r="B34" i="2"/>
  <c r="D34" i="2" s="1"/>
  <c r="B35" i="2"/>
  <c r="D35" i="2" s="1"/>
  <c r="B36" i="2"/>
  <c r="D36" i="2" s="1"/>
  <c r="B37" i="2"/>
  <c r="D37" i="2" s="1"/>
  <c r="B293" i="2" l="1"/>
  <c r="F293" i="2"/>
  <c r="G293" i="2" l="1"/>
  <c r="E293" i="2"/>
  <c r="C294" i="2" l="1"/>
  <c r="B294" i="2" l="1"/>
  <c r="F294" i="2"/>
  <c r="G294" i="2" l="1"/>
  <c r="E294" i="2"/>
  <c r="C295" i="2" l="1"/>
  <c r="B295" i="2" l="1"/>
  <c r="F295" i="2"/>
  <c r="G295" i="2" l="1"/>
  <c r="E295" i="2"/>
  <c r="C296" i="2" l="1"/>
  <c r="B296" i="2" l="1"/>
  <c r="F296" i="2"/>
  <c r="G296" i="2" l="1"/>
  <c r="E296" i="2"/>
  <c r="C297" i="2" l="1"/>
  <c r="B297" i="2" l="1"/>
  <c r="F297" i="2"/>
  <c r="G297" i="2" l="1"/>
  <c r="E297" i="2"/>
  <c r="C298" i="2" l="1"/>
  <c r="B298" i="2" l="1"/>
  <c r="F298" i="2"/>
  <c r="G298" i="2" l="1"/>
  <c r="E298" i="2"/>
  <c r="C299" i="2" l="1"/>
  <c r="B299" i="2" l="1"/>
  <c r="F299" i="2"/>
  <c r="E299" i="2" l="1"/>
  <c r="G299" i="2"/>
  <c r="C300" i="2" l="1"/>
  <c r="B300" i="2" l="1"/>
  <c r="F300" i="2"/>
  <c r="G300" i="2" l="1"/>
  <c r="E300" i="2"/>
  <c r="C301" i="2" l="1"/>
  <c r="B301" i="2" l="1"/>
  <c r="F301" i="2"/>
  <c r="E301" i="2" l="1"/>
  <c r="G301" i="2"/>
  <c r="C302" i="2" l="1"/>
  <c r="B302" i="2" l="1"/>
  <c r="F302" i="2"/>
  <c r="E302" i="2" l="1"/>
  <c r="G302" i="2"/>
  <c r="C303" i="2" l="1"/>
  <c r="B303" i="2" l="1"/>
  <c r="F303" i="2"/>
  <c r="G303" i="2" l="1"/>
  <c r="E303" i="2"/>
  <c r="C304" i="2" l="1"/>
  <c r="B304" i="2" l="1"/>
  <c r="F304" i="2"/>
  <c r="F38" i="2" l="1"/>
  <c r="E304" i="2"/>
  <c r="G304" i="2"/>
  <c r="G38" i="2" l="1"/>
  <c r="C305" i="2"/>
  <c r="E38" i="2"/>
  <c r="B305" i="2" l="1"/>
  <c r="F305" i="2"/>
  <c r="G305" i="2" l="1"/>
  <c r="E305" i="2"/>
  <c r="C306" i="2" l="1"/>
  <c r="B306" i="2" l="1"/>
  <c r="F306" i="2"/>
  <c r="G306" i="2" l="1"/>
  <c r="E306" i="2"/>
  <c r="C307" i="2" l="1"/>
  <c r="B307" i="2" l="1"/>
  <c r="F307" i="2"/>
  <c r="E307" i="2" l="1"/>
  <c r="G307" i="2"/>
  <c r="C308" i="2" l="1"/>
  <c r="B308" i="2" l="1"/>
  <c r="F308" i="2"/>
  <c r="G308" i="2" l="1"/>
  <c r="E308" i="2"/>
  <c r="C309" i="2" l="1"/>
  <c r="B309" i="2" l="1"/>
  <c r="F309" i="2"/>
  <c r="E309" i="2" l="1"/>
  <c r="G309" i="2"/>
  <c r="C310" i="2" l="1"/>
  <c r="B310" i="2" l="1"/>
  <c r="F310" i="2"/>
  <c r="E310" i="2" l="1"/>
  <c r="G310" i="2"/>
  <c r="C311" i="2" l="1"/>
  <c r="B311" i="2" l="1"/>
  <c r="F311" i="2"/>
  <c r="E311" i="2" l="1"/>
  <c r="G311" i="2"/>
  <c r="C312" i="2" l="1"/>
  <c r="B312" i="2" l="1"/>
  <c r="F312" i="2"/>
  <c r="G312" i="2" l="1"/>
  <c r="E312" i="2"/>
  <c r="C313" i="2" l="1"/>
  <c r="B313" i="2" l="1"/>
  <c r="F313" i="2"/>
  <c r="G313" i="2" l="1"/>
  <c r="E313" i="2"/>
  <c r="C314" i="2" l="1"/>
  <c r="B314" i="2" l="1"/>
  <c r="F314" i="2"/>
  <c r="G314" i="2" l="1"/>
  <c r="E314" i="2"/>
  <c r="C315" i="2" l="1"/>
  <c r="B315" i="2" l="1"/>
  <c r="F315" i="2"/>
  <c r="G315" i="2" l="1"/>
  <c r="E315" i="2"/>
  <c r="C316" i="2" l="1"/>
  <c r="B316" i="2" l="1"/>
  <c r="F316" i="2"/>
  <c r="F39" i="2" l="1"/>
  <c r="G316" i="2"/>
  <c r="E316" i="2"/>
  <c r="C317" i="2" l="1"/>
  <c r="E39" i="2"/>
  <c r="G39" i="2"/>
  <c r="B317" i="2" l="1"/>
  <c r="F317" i="2"/>
  <c r="E317" i="2" l="1"/>
  <c r="G317" i="2"/>
  <c r="C318" i="2" l="1"/>
  <c r="B318" i="2" l="1"/>
  <c r="F318" i="2"/>
  <c r="G318" i="2" l="1"/>
  <c r="E318" i="2"/>
  <c r="C319" i="2" l="1"/>
  <c r="B319" i="2" l="1"/>
  <c r="F319" i="2"/>
  <c r="E319" i="2" l="1"/>
  <c r="G319" i="2"/>
  <c r="C320" i="2" l="1"/>
  <c r="B320" i="2" l="1"/>
  <c r="F320" i="2"/>
  <c r="G320" i="2" l="1"/>
  <c r="E320" i="2"/>
  <c r="C321" i="2" l="1"/>
  <c r="B321" i="2" l="1"/>
  <c r="F321" i="2"/>
  <c r="E321" i="2" l="1"/>
  <c r="G321" i="2"/>
  <c r="C322" i="2" l="1"/>
  <c r="B322" i="2" l="1"/>
  <c r="F322" i="2"/>
  <c r="G322" i="2" l="1"/>
  <c r="E322" i="2"/>
  <c r="C323" i="2" l="1"/>
  <c r="B323" i="2" l="1"/>
  <c r="F323" i="2"/>
  <c r="E323" i="2" l="1"/>
  <c r="G323" i="2"/>
  <c r="C324" i="2" l="1"/>
  <c r="B324" i="2" l="1"/>
  <c r="F324" i="2"/>
  <c r="G324" i="2" l="1"/>
  <c r="E324" i="2"/>
  <c r="C325" i="2" l="1"/>
  <c r="B325" i="2" l="1"/>
  <c r="F325" i="2"/>
  <c r="G325" i="2" l="1"/>
  <c r="E325" i="2"/>
  <c r="C326" i="2" l="1"/>
  <c r="B326" i="2" l="1"/>
  <c r="F326" i="2"/>
  <c r="G326" i="2" l="1"/>
  <c r="E326" i="2"/>
  <c r="C327" i="2" l="1"/>
  <c r="B327" i="2" l="1"/>
  <c r="F327" i="2"/>
  <c r="G327" i="2" l="1"/>
  <c r="E327" i="2"/>
  <c r="C328" i="2" l="1"/>
  <c r="B328" i="2" l="1"/>
  <c r="F328" i="2"/>
  <c r="F40" i="2" l="1"/>
  <c r="G328" i="2"/>
  <c r="E328" i="2"/>
  <c r="C329" i="2" l="1"/>
  <c r="E40" i="2"/>
  <c r="G40" i="2"/>
  <c r="B329" i="2" l="1"/>
  <c r="F329" i="2"/>
  <c r="E329" i="2" l="1"/>
  <c r="G329" i="2"/>
  <c r="C330" i="2" l="1"/>
  <c r="B330" i="2" l="1"/>
  <c r="F330" i="2"/>
  <c r="G330" i="2" l="1"/>
  <c r="E330" i="2"/>
  <c r="C331" i="2" l="1"/>
  <c r="B331" i="2" l="1"/>
  <c r="F331" i="2"/>
  <c r="E331" i="2" l="1"/>
  <c r="G331" i="2"/>
  <c r="C332" i="2" l="1"/>
  <c r="B332" i="2" l="1"/>
  <c r="F332" i="2"/>
  <c r="G332" i="2" l="1"/>
  <c r="E332" i="2"/>
  <c r="C333" i="2" l="1"/>
  <c r="B333" i="2" l="1"/>
  <c r="F333" i="2"/>
  <c r="E333" i="2" l="1"/>
  <c r="G333" i="2"/>
  <c r="C334" i="2" l="1"/>
  <c r="B334" i="2" l="1"/>
  <c r="F334" i="2"/>
  <c r="E334" i="2" l="1"/>
  <c r="G334" i="2"/>
  <c r="C335" i="2" l="1"/>
  <c r="B335" i="2" l="1"/>
  <c r="F335" i="2"/>
  <c r="G335" i="2" l="1"/>
  <c r="E335" i="2"/>
  <c r="C336" i="2" l="1"/>
  <c r="B336" i="2" l="1"/>
  <c r="F336" i="2"/>
  <c r="G336" i="2" l="1"/>
  <c r="E336" i="2"/>
  <c r="C337" i="2" l="1"/>
  <c r="B337" i="2" l="1"/>
  <c r="F337" i="2"/>
  <c r="G337" i="2" l="1"/>
  <c r="E337" i="2"/>
  <c r="C338" i="2" l="1"/>
  <c r="B338" i="2" l="1"/>
  <c r="F338" i="2"/>
  <c r="G338" i="2" l="1"/>
  <c r="E338" i="2"/>
  <c r="C339" i="2" l="1"/>
  <c r="B339" i="2" l="1"/>
  <c r="F339" i="2"/>
  <c r="G339" i="2" l="1"/>
  <c r="E339" i="2"/>
  <c r="C340" i="2" l="1"/>
  <c r="B340" i="2" l="1"/>
  <c r="F340" i="2"/>
  <c r="F41" i="2" l="1"/>
  <c r="G340" i="2"/>
  <c r="E340" i="2"/>
  <c r="C341" i="2" l="1"/>
  <c r="E41" i="2"/>
  <c r="G41" i="2"/>
  <c r="B341" i="2" l="1"/>
  <c r="F341" i="2"/>
  <c r="E341" i="2" l="1"/>
  <c r="G341" i="2"/>
  <c r="C342" i="2" l="1"/>
  <c r="B342" i="2" l="1"/>
  <c r="F342" i="2"/>
  <c r="G342" i="2" l="1"/>
  <c r="E342" i="2"/>
  <c r="C343" i="2" l="1"/>
  <c r="B343" i="2" l="1"/>
  <c r="F343" i="2"/>
  <c r="E343" i="2" l="1"/>
  <c r="G343" i="2"/>
  <c r="C344" i="2" l="1"/>
  <c r="B344" i="2" l="1"/>
  <c r="F344" i="2"/>
  <c r="G344" i="2" l="1"/>
  <c r="E344" i="2"/>
  <c r="C345" i="2" l="1"/>
  <c r="B345" i="2" l="1"/>
  <c r="F345" i="2"/>
  <c r="E345" i="2" l="1"/>
  <c r="G345" i="2"/>
  <c r="C346" i="2" l="1"/>
  <c r="B346" i="2" l="1"/>
  <c r="F346" i="2"/>
  <c r="G346" i="2" l="1"/>
  <c r="E346" i="2"/>
  <c r="C347" i="2" l="1"/>
  <c r="B347" i="2" l="1"/>
  <c r="F347" i="2"/>
  <c r="G347" i="2" l="1"/>
  <c r="E347" i="2"/>
  <c r="C348" i="2" l="1"/>
  <c r="B348" i="2" l="1"/>
  <c r="F348" i="2"/>
  <c r="E348" i="2" l="1"/>
  <c r="G348" i="2"/>
  <c r="C349" i="2" l="1"/>
  <c r="B349" i="2" l="1"/>
  <c r="F349" i="2"/>
  <c r="G349" i="2" l="1"/>
  <c r="E349" i="2"/>
  <c r="C350" i="2" l="1"/>
  <c r="B350" i="2" l="1"/>
  <c r="F350" i="2"/>
  <c r="G350" i="2" l="1"/>
  <c r="E350" i="2"/>
  <c r="C351" i="2" l="1"/>
  <c r="B351" i="2" l="1"/>
  <c r="F351" i="2"/>
  <c r="G351" i="2" l="1"/>
  <c r="E351" i="2"/>
  <c r="C352" i="2" l="1"/>
  <c r="B352" i="2" l="1"/>
  <c r="F352" i="2"/>
  <c r="F42" i="2" l="1"/>
  <c r="G352" i="2"/>
  <c r="E352" i="2"/>
  <c r="C353" i="2" l="1"/>
  <c r="E42" i="2"/>
  <c r="G42" i="2"/>
  <c r="B353" i="2" l="1"/>
  <c r="F353" i="2"/>
  <c r="E353" i="2" l="1"/>
  <c r="G353" i="2"/>
  <c r="C354" i="2" l="1"/>
  <c r="B354" i="2" l="1"/>
  <c r="F354" i="2"/>
  <c r="G354" i="2" l="1"/>
  <c r="E354" i="2"/>
  <c r="C355" i="2" l="1"/>
  <c r="B355" i="2" l="1"/>
  <c r="F355" i="2"/>
  <c r="E355" i="2" l="1"/>
  <c r="G355" i="2"/>
  <c r="C356" i="2" l="1"/>
  <c r="B356" i="2" l="1"/>
  <c r="F356" i="2"/>
  <c r="G356" i="2" l="1"/>
  <c r="E356" i="2"/>
  <c r="C357" i="2" l="1"/>
  <c r="B357" i="2" l="1"/>
  <c r="F357" i="2"/>
  <c r="E357" i="2" l="1"/>
  <c r="G357" i="2"/>
  <c r="C358" i="2" l="1"/>
  <c r="B358" i="2" l="1"/>
  <c r="F358" i="2"/>
  <c r="G358" i="2" l="1"/>
  <c r="E358" i="2"/>
  <c r="C359" i="2" l="1"/>
  <c r="B359" i="2" l="1"/>
  <c r="F359" i="2"/>
  <c r="G359" i="2" l="1"/>
  <c r="E359" i="2"/>
  <c r="C360" i="2" l="1"/>
  <c r="B360" i="2" l="1"/>
  <c r="F360" i="2"/>
  <c r="G360" i="2" l="1"/>
  <c r="E360" i="2"/>
  <c r="C361" i="2" l="1"/>
  <c r="B361" i="2" l="1"/>
  <c r="F361" i="2"/>
  <c r="E361" i="2" l="1"/>
  <c r="G361" i="2"/>
  <c r="C362" i="2" l="1"/>
  <c r="B362" i="2" l="1"/>
  <c r="F362" i="2"/>
  <c r="G362" i="2" l="1"/>
  <c r="E362" i="2"/>
  <c r="C363" i="2" l="1"/>
  <c r="B363" i="2" l="1"/>
  <c r="F363" i="2"/>
  <c r="G363" i="2" l="1"/>
  <c r="E363" i="2"/>
  <c r="C364" i="2" l="1"/>
  <c r="B364" i="2" l="1"/>
  <c r="F364" i="2"/>
  <c r="F43" i="2" l="1"/>
  <c r="E364" i="2"/>
  <c r="G364" i="2"/>
  <c r="G43" i="2" l="1"/>
  <c r="C365" i="2"/>
  <c r="E43" i="2"/>
  <c r="B365" i="2" l="1"/>
  <c r="F365" i="2"/>
  <c r="G365" i="2" l="1"/>
  <c r="E365" i="2"/>
  <c r="C366" i="2" l="1"/>
  <c r="B366" i="2" l="1"/>
  <c r="F366" i="2"/>
  <c r="E366" i="2" l="1"/>
  <c r="G366" i="2"/>
  <c r="C367" i="2" l="1"/>
  <c r="B367" i="2" l="1"/>
  <c r="F367" i="2"/>
  <c r="G367" i="2" l="1"/>
  <c r="E367" i="2"/>
  <c r="C368" i="2" l="1"/>
  <c r="B368" i="2" l="1"/>
  <c r="F368" i="2"/>
  <c r="E368" i="2" l="1"/>
  <c r="G368" i="2"/>
  <c r="C369" i="2" l="1"/>
  <c r="B369" i="2" l="1"/>
  <c r="F369" i="2"/>
  <c r="G369" i="2" l="1"/>
  <c r="E369" i="2"/>
  <c r="C370" i="2" l="1"/>
  <c r="B370" i="2" l="1"/>
  <c r="F370" i="2"/>
  <c r="E370" i="2" l="1"/>
  <c r="G370" i="2"/>
  <c r="C371" i="2" l="1"/>
  <c r="B371" i="2" l="1"/>
  <c r="F371" i="2"/>
  <c r="E371" i="2" l="1"/>
  <c r="G371" i="2"/>
  <c r="C372" i="2" l="1"/>
  <c r="B372" i="2" l="1"/>
  <c r="F372" i="2"/>
  <c r="E372" i="2" l="1"/>
  <c r="G372" i="2"/>
  <c r="C373" i="2" l="1"/>
  <c r="B373" i="2" l="1"/>
  <c r="F373" i="2"/>
  <c r="G373" i="2" l="1"/>
  <c r="E373" i="2"/>
  <c r="C374" i="2" l="1"/>
  <c r="B374" i="2" l="1"/>
  <c r="F374" i="2"/>
  <c r="E374" i="2" l="1"/>
  <c r="G374" i="2"/>
  <c r="C375" i="2" l="1"/>
  <c r="B375" i="2" l="1"/>
  <c r="F375" i="2"/>
  <c r="E375" i="2" l="1"/>
  <c r="G375" i="2"/>
  <c r="C376" i="2" l="1"/>
  <c r="B376" i="2" l="1"/>
  <c r="F376" i="2"/>
  <c r="F44" i="2" l="1"/>
  <c r="E376" i="2"/>
  <c r="G376" i="2"/>
  <c r="G44" i="2" l="1"/>
  <c r="C377" i="2"/>
  <c r="E44" i="2"/>
  <c r="B377" i="2" l="1"/>
  <c r="F377" i="2"/>
  <c r="G377" i="2" l="1"/>
  <c r="E377" i="2"/>
  <c r="C378" i="2" l="1"/>
  <c r="B378" i="2" l="1"/>
  <c r="F378" i="2"/>
  <c r="E378" i="2" l="1"/>
  <c r="G378" i="2"/>
  <c r="C379" i="2" l="1"/>
  <c r="B379" i="2" l="1"/>
  <c r="F379" i="2"/>
  <c r="G379" i="2" l="1"/>
  <c r="E379" i="2"/>
  <c r="C380" i="2" l="1"/>
  <c r="B380" i="2" l="1"/>
  <c r="F380" i="2"/>
  <c r="E380" i="2" l="1"/>
  <c r="G380" i="2"/>
  <c r="C381" i="2" l="1"/>
  <c r="B381" i="2" l="1"/>
  <c r="F381" i="2"/>
  <c r="G381" i="2" l="1"/>
  <c r="E381" i="2"/>
  <c r="C382" i="2" l="1"/>
  <c r="B382" i="2" l="1"/>
  <c r="F382" i="2"/>
  <c r="E382" i="2" l="1"/>
  <c r="G382" i="2"/>
  <c r="C383" i="2" l="1"/>
  <c r="B383" i="2" l="1"/>
  <c r="F383" i="2"/>
  <c r="G383" i="2" l="1"/>
  <c r="E383" i="2"/>
  <c r="C384" i="2" l="1"/>
  <c r="B384" i="2" l="1"/>
  <c r="F384" i="2"/>
  <c r="G384" i="2" l="1"/>
  <c r="E384" i="2"/>
  <c r="C385" i="2" l="1"/>
  <c r="B385" i="2" l="1"/>
  <c r="F385" i="2"/>
  <c r="G385" i="2" l="1"/>
  <c r="E385" i="2"/>
  <c r="C386" i="2" l="1"/>
  <c r="B386" i="2" l="1"/>
  <c r="F386" i="2"/>
  <c r="G386" i="2" l="1"/>
  <c r="E386" i="2"/>
  <c r="C387" i="2" l="1"/>
  <c r="B387" i="2" l="1"/>
  <c r="F387" i="2"/>
  <c r="G387" i="2" l="1"/>
  <c r="E387" i="2"/>
  <c r="C388" i="2" l="1"/>
  <c r="B388" i="2" l="1"/>
  <c r="F388" i="2"/>
  <c r="F45" i="2" l="1"/>
  <c r="G388" i="2"/>
  <c r="E388" i="2"/>
  <c r="C389" i="2" l="1"/>
  <c r="E45" i="2"/>
  <c r="G45" i="2"/>
  <c r="B389" i="2" l="1"/>
  <c r="F389" i="2"/>
  <c r="E389" i="2" l="1"/>
  <c r="G389" i="2"/>
  <c r="C390" i="2" l="1"/>
  <c r="B390" i="2" l="1"/>
  <c r="F390" i="2"/>
  <c r="G390" i="2" l="1"/>
  <c r="E390" i="2"/>
  <c r="C391" i="2" l="1"/>
  <c r="B391" i="2" l="1"/>
  <c r="F391" i="2"/>
  <c r="G391" i="2" l="1"/>
  <c r="E391" i="2"/>
  <c r="C392" i="2" l="1"/>
  <c r="B392" i="2" l="1"/>
  <c r="F392" i="2"/>
  <c r="E392" i="2" l="1"/>
  <c r="G392" i="2"/>
  <c r="C393" i="2" l="1"/>
  <c r="B393" i="2" l="1"/>
  <c r="F393" i="2"/>
  <c r="G393" i="2" l="1"/>
  <c r="E393" i="2"/>
  <c r="C394" i="2" l="1"/>
  <c r="B394" i="2" l="1"/>
  <c r="F394" i="2"/>
  <c r="E394" i="2" l="1"/>
  <c r="G394" i="2"/>
  <c r="C395" i="2" l="1"/>
  <c r="B395" i="2" l="1"/>
  <c r="F395" i="2"/>
  <c r="G395" i="2" l="1"/>
  <c r="E395" i="2"/>
  <c r="C396" i="2" l="1"/>
  <c r="B396" i="2" l="1"/>
  <c r="F396" i="2"/>
  <c r="G396" i="2" l="1"/>
  <c r="E396" i="2"/>
  <c r="C397" i="2" l="1"/>
  <c r="B397" i="2" l="1"/>
  <c r="F397" i="2"/>
  <c r="G397" i="2" l="1"/>
  <c r="E397" i="2"/>
  <c r="C398" i="2" l="1"/>
  <c r="B398" i="2" l="1"/>
  <c r="F398" i="2"/>
  <c r="G398" i="2" l="1"/>
  <c r="E398" i="2"/>
  <c r="C399" i="2" l="1"/>
  <c r="B399" i="2" l="1"/>
  <c r="F399" i="2"/>
  <c r="G399" i="2" l="1"/>
  <c r="E399" i="2"/>
  <c r="C400" i="2" l="1"/>
  <c r="B400" i="2" l="1"/>
  <c r="F400" i="2"/>
  <c r="F46" i="2" l="1"/>
  <c r="G400" i="2"/>
  <c r="E400" i="2"/>
  <c r="C401" i="2" l="1"/>
  <c r="E46" i="2"/>
  <c r="G46" i="2"/>
  <c r="B401" i="2" l="1"/>
  <c r="F401" i="2"/>
  <c r="E401" i="2" l="1"/>
  <c r="G401" i="2"/>
  <c r="C402" i="2" l="1"/>
  <c r="B402" i="2" l="1"/>
  <c r="F402" i="2"/>
  <c r="G402" i="2" l="1"/>
  <c r="E402" i="2"/>
  <c r="C403" i="2" l="1"/>
  <c r="B403" i="2" l="1"/>
  <c r="F403" i="2"/>
  <c r="E403" i="2" l="1"/>
  <c r="G403" i="2"/>
  <c r="C404" i="2" l="1"/>
  <c r="B404" i="2" l="1"/>
  <c r="F404" i="2"/>
  <c r="G404" i="2" l="1"/>
  <c r="E404" i="2"/>
  <c r="C405" i="2" l="1"/>
  <c r="B405" i="2" l="1"/>
  <c r="F405" i="2"/>
  <c r="E405" i="2" l="1"/>
  <c r="G405" i="2"/>
  <c r="C406" i="2" l="1"/>
  <c r="B406" i="2" l="1"/>
  <c r="F406" i="2"/>
  <c r="G406" i="2" l="1"/>
  <c r="E406" i="2"/>
  <c r="C407" i="2" l="1"/>
  <c r="B407" i="2" l="1"/>
  <c r="F407" i="2"/>
  <c r="G407" i="2" l="1"/>
  <c r="E407" i="2"/>
  <c r="C408" i="2" l="1"/>
  <c r="B408" i="2" l="1"/>
  <c r="F408" i="2"/>
  <c r="G408" i="2" l="1"/>
  <c r="E408" i="2"/>
  <c r="C409" i="2" l="1"/>
  <c r="B409" i="2" l="1"/>
  <c r="F409" i="2"/>
  <c r="G409" i="2" l="1"/>
  <c r="E409" i="2"/>
  <c r="C410" i="2" l="1"/>
  <c r="B410" i="2" l="1"/>
  <c r="F410" i="2"/>
  <c r="G410" i="2" l="1"/>
  <c r="E410" i="2"/>
  <c r="C411" i="2" l="1"/>
  <c r="B411" i="2" l="1"/>
  <c r="F411" i="2"/>
  <c r="G411" i="2" l="1"/>
  <c r="E411" i="2"/>
  <c r="C412" i="2" l="1"/>
  <c r="B412" i="2" l="1"/>
  <c r="C413" i="2"/>
  <c r="F412" i="2"/>
  <c r="F47" i="2" s="1"/>
  <c r="C38" i="2" l="1"/>
  <c r="C39" i="2"/>
  <c r="C40" i="2"/>
  <c r="C41" i="2"/>
  <c r="C42" i="2"/>
  <c r="C43" i="2"/>
  <c r="C44" i="2"/>
  <c r="C45" i="2"/>
  <c r="C46" i="2"/>
  <c r="C47" i="2"/>
  <c r="B413" i="2"/>
  <c r="G412" i="2"/>
  <c r="G47" i="2" s="1"/>
  <c r="E412" i="2"/>
  <c r="E47" i="2" s="1"/>
  <c r="B38" i="2" l="1"/>
  <c r="B39" i="2"/>
  <c r="D39" i="2" s="1"/>
  <c r="B40" i="2"/>
  <c r="D40" i="2" s="1"/>
  <c r="B41" i="2"/>
  <c r="D41" i="2" s="1"/>
  <c r="B42" i="2"/>
  <c r="D42" i="2" s="1"/>
  <c r="B43" i="2"/>
  <c r="D43" i="2" s="1"/>
  <c r="B44" i="2"/>
  <c r="D44" i="2" s="1"/>
  <c r="B45" i="2"/>
  <c r="D45" i="2" s="1"/>
  <c r="B46" i="2"/>
  <c r="D46" i="2" s="1"/>
  <c r="B47" i="2"/>
  <c r="D47" i="2" s="1"/>
  <c r="C48" i="2"/>
  <c r="C11" i="2" s="1"/>
  <c r="F12" i="1" s="1"/>
  <c r="D38" i="2" l="1"/>
  <c r="D48" i="2" s="1"/>
  <c r="C13" i="2" s="1"/>
  <c r="B48" i="2"/>
</calcChain>
</file>

<file path=xl/sharedStrings.xml><?xml version="1.0" encoding="utf-8"?>
<sst xmlns="http://schemas.openxmlformats.org/spreadsheetml/2006/main" count="49" uniqueCount="36">
  <si>
    <t>Home Loan Eligibility Calculator</t>
  </si>
  <si>
    <r>
      <t xml:space="preserve">By - </t>
    </r>
    <r>
      <rPr>
        <b/>
        <sz val="11"/>
        <color rgb="FFFF6600"/>
        <rFont val="Calibri"/>
        <family val="2"/>
        <scheme val="minor"/>
      </rPr>
      <t>Asset Yogi.com</t>
    </r>
  </si>
  <si>
    <t>Inputs</t>
  </si>
  <si>
    <t>Gross Monthly Income (Rs.)</t>
  </si>
  <si>
    <t>Loan Tenure (in Years)</t>
  </si>
  <si>
    <t>Interest Rate (%)</t>
  </si>
  <si>
    <t>Other EMIs (Total in Rs.)</t>
  </si>
  <si>
    <t xml:space="preserve">Eligibility </t>
  </si>
  <si>
    <t>Loan Amount</t>
  </si>
  <si>
    <t>Loan Payable</t>
  </si>
  <si>
    <t>EMI</t>
  </si>
  <si>
    <t>Principal Amount</t>
  </si>
  <si>
    <t>Maximum Value of Home you can Buy</t>
  </si>
  <si>
    <t>Total Interest Payable</t>
  </si>
  <si>
    <t>Gross EMI Eligibility</t>
  </si>
  <si>
    <t>EMI Calculator</t>
  </si>
  <si>
    <r>
      <t xml:space="preserve">By </t>
    </r>
    <r>
      <rPr>
        <b/>
        <sz val="11"/>
        <color rgb="FFFF6600"/>
        <rFont val="Calibri"/>
        <family val="2"/>
        <scheme val="minor"/>
      </rPr>
      <t>AssetYogi.com</t>
    </r>
    <r>
      <rPr>
        <b/>
        <sz val="10"/>
        <color theme="0"/>
        <rFont val="Impact"/>
        <family val="2"/>
      </rPr>
      <t xml:space="preserve"> </t>
    </r>
    <r>
      <rPr>
        <b/>
        <sz val="11"/>
        <color theme="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 </t>
    </r>
  </si>
  <si>
    <t>Loan Amount (Rs.)</t>
  </si>
  <si>
    <t>Interest Rate (% p.a.)</t>
  </si>
  <si>
    <t>Loan Tenure (Years)</t>
  </si>
  <si>
    <t>(in Rs.)</t>
  </si>
  <si>
    <t>Results</t>
  </si>
  <si>
    <t>Total Payment 
(Principal + Interest)</t>
  </si>
  <si>
    <t>Loan Repayment Schedule (Yearly)</t>
  </si>
  <si>
    <t>(figures in Rupees)</t>
  </si>
  <si>
    <t>Year</t>
  </si>
  <si>
    <t>Principal (P)</t>
  </si>
  <si>
    <t>Interest (I)</t>
  </si>
  <si>
    <t xml:space="preserve">Total Payment (P+I) </t>
  </si>
  <si>
    <t>Principal
Outstanding</t>
  </si>
  <si>
    <t>Cumulative Interest</t>
  </si>
  <si>
    <t>Cumulative Principal</t>
  </si>
  <si>
    <t>Months</t>
  </si>
  <si>
    <t>Total</t>
  </si>
  <si>
    <t>Loan Repayment Schedule (Monthly)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</si>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</sst>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10"/>
      <color theme="0"/>
      <name val="Impact"/>
      <family val="2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0000"/>
        <bgColor indexed="64"/>
      </patternFill>
    </fill>
    <fill>
      <patternFill patternType="solid">
        <fgColor rgb="FF89C4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9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8" borderId="0" xfId="0" applyFont="1" applyFill="1" applyAlignment="1" applyProtection="1">
      <alignment horizontal="center" vertical="center" wrapText="1"/>
      <protection hidden="1"/>
    </xf>
    <xf numFmtId="0" fontId="2" fillId="9" borderId="0" xfId="0" applyFont="1" applyFill="1" applyAlignment="1" applyProtection="1">
      <alignment horizontal="center" vertical="center" wrapText="1"/>
      <protection hidden="1"/>
    </xf>
    <xf numFmtId="0" fontId="2" fillId="10" borderId="0" xfId="0" applyFont="1" applyFill="1" applyAlignment="1" applyProtection="1">
      <alignment horizontal="center" vertical="center" wrapText="1"/>
      <protection hidden="1"/>
    </xf>
    <xf numFmtId="0" fontId="16" fillId="9" borderId="0" xfId="0" applyFont="1" applyFill="1" applyAlignment="1" applyProtection="1">
      <alignment horizontal="left"/>
      <protection hidden="1"/>
    </xf>
    <xf numFmtId="0" fontId="4" fillId="9" borderId="0" xfId="0" applyFont="1" applyFill="1" applyProtection="1">
      <protection hidden="1"/>
    </xf>
    <xf numFmtId="0" fontId="0" fillId="0" borderId="0" xfId="0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right"/>
      <protection hidden="1"/>
    </xf>
    <xf numFmtId="0" fontId="6" fillId="3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15" fillId="0" borderId="0" xfId="0" applyFont="1" applyAlignment="1" applyProtection="1">
      <alignment horizontal="right"/>
      <protection hidden="1"/>
    </xf>
    <xf numFmtId="0" fontId="4" fillId="3" borderId="0" xfId="0" applyFont="1" applyFill="1" applyProtection="1">
      <protection hidden="1"/>
    </xf>
    <xf numFmtId="165" fontId="6" fillId="7" borderId="0" xfId="1" applyNumberFormat="1" applyFont="1" applyFill="1" applyBorder="1" applyProtection="1">
      <protection hidden="1"/>
    </xf>
    <xf numFmtId="0" fontId="20" fillId="5" borderId="0" xfId="0" applyFont="1" applyFill="1" applyProtection="1">
      <protection hidden="1"/>
    </xf>
    <xf numFmtId="165" fontId="8" fillId="8" borderId="0" xfId="0" applyNumberFormat="1" applyFont="1" applyFill="1" applyProtection="1">
      <protection hidden="1"/>
    </xf>
    <xf numFmtId="165" fontId="8" fillId="2" borderId="0" xfId="0" applyNumberFormat="1" applyFont="1" applyFill="1" applyProtection="1">
      <protection hidden="1"/>
    </xf>
    <xf numFmtId="165" fontId="8" fillId="9" borderId="0" xfId="0" applyNumberFormat="1" applyFont="1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16" fillId="3" borderId="0" xfId="0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/>
      <protection hidden="1"/>
    </xf>
    <xf numFmtId="165" fontId="0" fillId="12" borderId="0" xfId="0" applyNumberFormat="1" applyFill="1" applyProtection="1">
      <protection hidden="1"/>
    </xf>
    <xf numFmtId="165" fontId="0" fillId="13" borderId="0" xfId="0" applyNumberFormat="1" applyFill="1" applyProtection="1">
      <protection hidden="1"/>
    </xf>
    <xf numFmtId="165" fontId="0" fillId="5" borderId="0" xfId="0" applyNumberFormat="1" applyFill="1" applyProtection="1">
      <protection hidden="1"/>
    </xf>
    <xf numFmtId="165" fontId="0" fillId="14" borderId="0" xfId="1" applyNumberFormat="1" applyFont="1" applyFill="1" applyBorder="1" applyProtection="1">
      <protection hidden="1"/>
    </xf>
    <xf numFmtId="165" fontId="5" fillId="5" borderId="0" xfId="1" applyNumberFormat="1" applyFont="1" applyFill="1" applyBorder="1" applyProtection="1">
      <protection hidden="1"/>
    </xf>
    <xf numFmtId="0" fontId="3" fillId="5" borderId="1" xfId="0" applyFont="1" applyFill="1" applyBorder="1" applyAlignment="1" applyProtection="1">
      <alignment horizontal="center"/>
      <protection hidden="1"/>
    </xf>
    <xf numFmtId="165" fontId="3" fillId="12" borderId="1" xfId="0" applyNumberFormat="1" applyFont="1" applyFill="1" applyBorder="1" applyProtection="1">
      <protection hidden="1"/>
    </xf>
    <xf numFmtId="165" fontId="3" fillId="13" borderId="1" xfId="0" applyNumberFormat="1" applyFont="1" applyFill="1" applyBorder="1" applyProtection="1">
      <protection hidden="1"/>
    </xf>
    <xf numFmtId="165" fontId="3" fillId="5" borderId="1" xfId="0" applyNumberFormat="1" applyFont="1" applyFill="1" applyBorder="1" applyProtection="1">
      <protection hidden="1"/>
    </xf>
    <xf numFmtId="0" fontId="3" fillId="5" borderId="1" xfId="0" applyFont="1" applyFill="1" applyBorder="1" applyProtection="1">
      <protection hidden="1"/>
    </xf>
    <xf numFmtId="0" fontId="22" fillId="5" borderId="1" xfId="0" applyFont="1" applyFill="1" applyBorder="1" applyProtection="1">
      <protection hidden="1"/>
    </xf>
    <xf numFmtId="0" fontId="3" fillId="0" borderId="0" xfId="0" applyFont="1" applyProtection="1">
      <protection hidden="1"/>
    </xf>
    <xf numFmtId="165" fontId="0" fillId="13" borderId="0" xfId="1" applyNumberFormat="1" applyFont="1" applyFill="1" applyBorder="1" applyProtection="1">
      <protection hidden="1"/>
    </xf>
    <xf numFmtId="165" fontId="0" fillId="6" borderId="0" xfId="0" applyNumberFormat="1" applyFill="1" applyProtection="1">
      <protection hidden="1"/>
    </xf>
    <xf numFmtId="165" fontId="5" fillId="5" borderId="0" xfId="0" applyNumberFormat="1" applyFont="1" applyFill="1" applyProtection="1">
      <protection hidden="1"/>
    </xf>
    <xf numFmtId="0" fontId="16" fillId="9" borderId="0" xfId="0" applyFont="1" applyFill="1" applyAlignment="1" applyProtection="1">
      <alignment vertical="center"/>
      <protection hidden="1"/>
    </xf>
    <xf numFmtId="0" fontId="11" fillId="9" borderId="0" xfId="0" applyFont="1" applyFill="1" applyAlignment="1" applyProtection="1">
      <alignment vertical="center"/>
      <protection hidden="1"/>
    </xf>
    <xf numFmtId="0" fontId="4" fillId="9" borderId="0" xfId="0" applyFont="1" applyFill="1" applyAlignment="1" applyProtection="1">
      <alignment vertical="center"/>
      <protection hidden="1"/>
    </xf>
    <xf numFmtId="0" fontId="7" fillId="3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Protection="1">
      <protection hidden="1"/>
    </xf>
    <xf numFmtId="0" fontId="9" fillId="5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165" fontId="13" fillId="0" borderId="0" xfId="1" applyNumberFormat="1" applyFont="1" applyFill="1" applyAlignment="1" applyProtection="1">
      <alignment vertical="center"/>
      <protection hidden="1"/>
    </xf>
    <xf numFmtId="0" fontId="7" fillId="3" borderId="0" xfId="0" applyFont="1" applyFill="1" applyAlignment="1" applyProtection="1">
      <alignment horizontal="right" vertical="center"/>
      <protection hidden="1"/>
    </xf>
    <xf numFmtId="0" fontId="7" fillId="4" borderId="0" xfId="0" applyFont="1" applyFill="1" applyAlignment="1" applyProtection="1">
      <alignment vertical="center"/>
      <protection hidden="1"/>
    </xf>
    <xf numFmtId="0" fontId="23" fillId="5" borderId="0" xfId="0" applyFont="1" applyFill="1" applyAlignment="1" applyProtection="1">
      <alignment vertical="center"/>
      <protection hidden="1"/>
    </xf>
    <xf numFmtId="165" fontId="13" fillId="7" borderId="0" xfId="1" applyNumberFormat="1" applyFont="1" applyFill="1" applyAlignment="1" applyProtection="1">
      <alignment vertical="center"/>
      <protection hidden="1"/>
    </xf>
    <xf numFmtId="165" fontId="14" fillId="7" borderId="0" xfId="0" applyNumberFormat="1" applyFont="1" applyFill="1" applyAlignment="1" applyProtection="1">
      <alignment vertical="center"/>
      <protection hidden="1"/>
    </xf>
    <xf numFmtId="165" fontId="13" fillId="11" borderId="0" xfId="0" applyNumberFormat="1" applyFont="1" applyFill="1" applyAlignment="1" applyProtection="1">
      <alignment vertical="center"/>
      <protection hidden="1"/>
    </xf>
    <xf numFmtId="165" fontId="14" fillId="15" borderId="0" xfId="1" applyNumberFormat="1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165" fontId="2" fillId="0" borderId="0" xfId="0" applyNumberFormat="1" applyFont="1" applyAlignment="1" applyProtection="1">
      <alignment vertical="center"/>
      <protection hidden="1"/>
    </xf>
    <xf numFmtId="165" fontId="9" fillId="6" borderId="0" xfId="1" applyNumberFormat="1" applyFont="1" applyFill="1" applyBorder="1" applyProtection="1">
      <protection hidden="1"/>
    </xf>
    <xf numFmtId="10" fontId="9" fillId="6" borderId="0" xfId="2" applyNumberFormat="1" applyFont="1" applyFill="1" applyBorder="1" applyProtection="1">
      <protection hidden="1"/>
    </xf>
    <xf numFmtId="0" fontId="9" fillId="6" borderId="0" xfId="0" applyFont="1" applyFill="1" applyProtection="1">
      <protection hidden="1"/>
    </xf>
    <xf numFmtId="165" fontId="9" fillId="6" borderId="0" xfId="1" applyNumberFormat="1" applyFont="1" applyFill="1" applyAlignment="1" applyProtection="1">
      <alignment horizontal="right" vertical="center"/>
      <protection locked="0"/>
    </xf>
    <xf numFmtId="0" fontId="9" fillId="6" borderId="0" xfId="0" applyFont="1" applyFill="1" applyAlignment="1" applyProtection="1">
      <alignment horizontal="right" vertical="center"/>
      <protection locked="0"/>
    </xf>
    <xf numFmtId="10" fontId="9" fillId="6" borderId="0" xfId="2" applyNumberFormat="1" applyFont="1" applyFill="1" applyAlignment="1" applyProtection="1">
      <alignment horizontal="right" vertical="center"/>
      <protection locked="0"/>
    </xf>
    <xf numFmtId="0" fontId="9" fillId="5" borderId="0" xfId="0" applyFont="1" applyFill="1" applyAlignment="1" applyProtection="1">
      <alignment vertical="center" wrapText="1"/>
      <protection hidden="1"/>
    </xf>
    <xf numFmtId="165" fontId="13" fillId="16" borderId="0" xfId="0" applyNumberFormat="1" applyFont="1" applyFill="1" applyAlignment="1" applyProtection="1">
      <alignment vertical="center"/>
      <protection hidden="1"/>
    </xf>
    <xf numFmtId="0" fontId="4" fillId="9" borderId="0" xfId="0" applyFont="1" applyFill="1" applyAlignment="1" applyProtection="1">
      <alignment horizontal="right" vertical="center"/>
      <protection hidden="1"/>
    </xf>
    <xf numFmtId="0" fontId="12" fillId="5" borderId="0" xfId="0" applyFont="1" applyFill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4" fillId="9" borderId="0" xfId="0" applyFont="1" applyFill="1" applyAlignment="1" applyProtection="1">
      <alignment horizontal="right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9" fillId="5" borderId="0" xfId="0" applyFont="1" applyFill="1" applyAlignment="1" applyProtection="1">
      <alignment horizontal="left"/>
      <protection hidden="1"/>
    </xf>
    <xf numFmtId="0" fontId="19" fillId="5" borderId="0" xfId="0" applyFont="1" applyFill="1" applyAlignment="1" applyProtection="1">
      <alignment horizontal="left"/>
      <protection hidden="1"/>
    </xf>
    <xf numFmtId="0" fontId="20" fillId="5" borderId="0" xfId="0" applyFont="1" applyFill="1" applyAlignment="1" applyProtection="1">
      <alignment horizontal="left" wrapText="1"/>
      <protection hidden="1"/>
    </xf>
    <xf numFmtId="0" fontId="20" fillId="5" borderId="0" xfId="0" applyFont="1" applyFill="1" applyAlignment="1" applyProtection="1">
      <alignment horizontal="left"/>
      <protection hidden="1"/>
    </xf>
    <xf numFmtId="0" fontId="21" fillId="0" borderId="0" xfId="0" applyFont="1" applyAlignment="1" applyProtection="1">
      <alignment horizontal="right"/>
      <protection hidden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20000"/>
      <color rgb="FFFF6600"/>
      <color rgb="FF007635"/>
      <color rgb="FFADFAA0"/>
      <color rgb="FF6BF654"/>
      <color rgb="FFFF7D7D"/>
      <color rgb="FF6DFF6D"/>
      <color rgb="FFFF3F3F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Break-up</a:t>
            </a:r>
            <a:r>
              <a:rPr lang="en-US" sz="1050" baseline="0"/>
              <a:t> of Loan Payable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74697348877903"/>
          <c:y val="0.15974277996194397"/>
          <c:w val="0.62217054263565896"/>
          <c:h val="0.68745166558157766"/>
        </c:manualLayout>
      </c:layout>
      <c:pieChart>
        <c:varyColors val="1"/>
        <c:ser>
          <c:idx val="0"/>
          <c:order val="0"/>
          <c:spPr>
            <a:solidFill>
              <a:srgbClr val="FF66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3-4DFD-B53B-41CD71BE10F4}"/>
              </c:ext>
            </c:extLst>
          </c:dPt>
          <c:dPt>
            <c:idx val="1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3-4DFD-B53B-41CD71BE10F4}"/>
              </c:ext>
            </c:extLst>
          </c:dPt>
          <c:dLbls>
            <c:dLbl>
              <c:idx val="0"/>
              <c:layout>
                <c:manualLayout>
                  <c:x val="0.18046185759038186"/>
                  <c:y val="-9.82138203787745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787867242401155"/>
                      <c:h val="0.14132783559710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B3-4DFD-B53B-41CD71BE10F4}"/>
                </c:ext>
              </c:extLst>
            </c:dLbl>
            <c:dLbl>
              <c:idx val="1"/>
              <c:layout>
                <c:manualLayout>
                  <c:x val="-0.2842377260981912"/>
                  <c:y val="-1.01772052184985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57364341085274"/>
                      <c:h val="0.14561024563776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1B3-4DFD-B53B-41CD71BE10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Eligibility'!$E$11:$E$12</c:f>
              <c:strCache>
                <c:ptCount val="2"/>
                <c:pt idx="0">
                  <c:v>Principal Amount</c:v>
                </c:pt>
                <c:pt idx="1">
                  <c:v>Total Interest Payable</c:v>
                </c:pt>
              </c:strCache>
            </c:strRef>
          </c:cat>
          <c:val>
            <c:numRef>
              <c:f>'Loan Eligibility'!$F$11:$F$12</c:f>
              <c:numCache>
                <c:formatCode>_(* #,##0_);_(* \(#,##0\);_(* "-"??_);_(@_)</c:formatCode>
                <c:ptCount val="2"/>
                <c:pt idx="0">
                  <c:v>3875261.5603360645</c:v>
                </c:pt>
                <c:pt idx="1">
                  <c:v>5724738.4396639727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3-4DFD-B53B-41CD71BE10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779629290524729E-2"/>
          <c:y val="0.88650898705446912"/>
          <c:w val="0.9"/>
          <c:h val="0.10739929280456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ysClr val="windowText" lastClr="000000"/>
                </a:solidFill>
              </a:rPr>
              <a:t>Loan</a:t>
            </a:r>
            <a:r>
              <a:rPr lang="en-US" sz="1300" baseline="0">
                <a:solidFill>
                  <a:sysClr val="windowText" lastClr="000000"/>
                </a:solidFill>
              </a:rPr>
              <a:t> Payment Break-Up</a:t>
            </a:r>
            <a:endParaRPr lang="en-US" sz="13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67289301771032"/>
          <c:y val="0.18072063525542775"/>
          <c:w val="0.44809657467895375"/>
          <c:h val="0.63984931079931384"/>
        </c:manualLayout>
      </c:layout>
      <c:pie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5-4C26-9140-5BF6856C915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5-4C26-9140-5BF6856C91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'EMI Calculator'!$A$11:$A$12</c:f>
              <c:strCache>
                <c:ptCount val="2"/>
                <c:pt idx="0">
                  <c:v>Total Interest Payable</c:v>
                </c:pt>
                <c:pt idx="1">
                  <c:v>Principal Amount</c:v>
                </c:pt>
              </c:strCache>
            </c:strRef>
          </c:cat>
          <c:val>
            <c:numRef>
              <c:f>'EMI Calculator'!$C$11:$C$12</c:f>
              <c:numCache>
                <c:formatCode>_(* #,##0_);_(* \(#,##0\);_(* "-"??_);_(@_)</c:formatCode>
                <c:ptCount val="2"/>
                <c:pt idx="0">
                  <c:v>5724738.4396639727</c:v>
                </c:pt>
                <c:pt idx="1">
                  <c:v>3875261.5603360645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5-4C26-9140-5BF6856C91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2</xdr:row>
      <xdr:rowOff>4763</xdr:rowOff>
    </xdr:from>
    <xdr:to>
      <xdr:col>5</xdr:col>
      <xdr:colOff>1104901</xdr:colOff>
      <xdr:row>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</xdr:row>
      <xdr:rowOff>9525</xdr:rowOff>
    </xdr:from>
    <xdr:to>
      <xdr:col>6</xdr:col>
      <xdr:colOff>771525</xdr:colOff>
      <xdr:row>12</xdr:row>
      <xdr:rowOff>190501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>
      <selection activeCell="C4" sqref="C4"/>
    </sheetView>
  </sheetViews>
  <sheetFormatPr defaultRowHeight="15"/>
  <cols>
    <col min="1" max="1" width="11.85546875" style="8" customWidth="1"/>
    <col min="2" max="2" width="15" style="8" customWidth="1"/>
    <col min="3" max="3" width="20.28515625" style="8" customWidth="1"/>
    <col min="4" max="4" width="5.28515625" style="8" customWidth="1"/>
    <col min="5" max="5" width="20.28515625" style="8" customWidth="1"/>
    <col min="6" max="6" width="16.7109375" style="8" customWidth="1"/>
    <col min="7" max="16384" width="9.140625" style="8"/>
  </cols>
  <sheetData>
    <row r="1" spans="1:6" ht="31.5" customHeight="1">
      <c r="A1" s="40" t="s">
        <v>0</v>
      </c>
      <c r="B1" s="41"/>
      <c r="C1" s="42"/>
      <c r="D1" s="42"/>
      <c r="E1" s="66" t="s">
        <v>1</v>
      </c>
      <c r="F1" s="66"/>
    </row>
    <row r="3" spans="1:6" ht="28.5" customHeight="1">
      <c r="A3" s="43" t="s">
        <v>2</v>
      </c>
      <c r="B3" s="43"/>
      <c r="C3" s="43"/>
      <c r="E3" s="44"/>
      <c r="F3" s="45"/>
    </row>
    <row r="4" spans="1:6" ht="25.5" customHeight="1">
      <c r="A4" s="46" t="s">
        <v>3</v>
      </c>
      <c r="B4" s="46"/>
      <c r="C4" s="61">
        <v>100000</v>
      </c>
      <c r="E4" s="47"/>
      <c r="F4" s="48"/>
    </row>
    <row r="5" spans="1:6" ht="25.5" customHeight="1">
      <c r="A5" s="46" t="s">
        <v>4</v>
      </c>
      <c r="B5" s="46"/>
      <c r="C5" s="62">
        <v>20</v>
      </c>
      <c r="E5" s="47"/>
      <c r="F5" s="48"/>
    </row>
    <row r="6" spans="1:6" ht="25.5" customHeight="1">
      <c r="A6" s="46" t="s">
        <v>5</v>
      </c>
      <c r="B6" s="46"/>
      <c r="C6" s="63">
        <v>0.11</v>
      </c>
      <c r="E6" s="47"/>
      <c r="F6" s="48"/>
    </row>
    <row r="7" spans="1:6" ht="25.5" customHeight="1">
      <c r="A7" s="46" t="s">
        <v>6</v>
      </c>
      <c r="B7" s="46"/>
      <c r="C7" s="61">
        <v>15000</v>
      </c>
      <c r="E7" s="47"/>
      <c r="F7" s="48"/>
    </row>
    <row r="8" spans="1:6" ht="30" customHeight="1"/>
    <row r="9" spans="1:6" ht="28.5" customHeight="1">
      <c r="A9" s="43" t="s">
        <v>7</v>
      </c>
      <c r="B9" s="43"/>
      <c r="C9" s="49"/>
    </row>
    <row r="10" spans="1:6" ht="30.75" customHeight="1">
      <c r="A10" s="51" t="s">
        <v>8</v>
      </c>
      <c r="B10" s="51"/>
      <c r="C10" s="52">
        <f>PV(C6/12, C5*12, -C11, 0)</f>
        <v>3875261.5603360645</v>
      </c>
      <c r="E10" s="50" t="s">
        <v>9</v>
      </c>
      <c r="F10" s="50"/>
    </row>
    <row r="11" spans="1:6" ht="30" customHeight="1">
      <c r="A11" s="51" t="s">
        <v>10</v>
      </c>
      <c r="B11" s="51"/>
      <c r="C11" s="54">
        <f>C14-C7</f>
        <v>40000.000000000007</v>
      </c>
      <c r="E11" s="46" t="s">
        <v>11</v>
      </c>
      <c r="F11" s="53">
        <f>C10</f>
        <v>3875261.5603360645</v>
      </c>
    </row>
    <row r="12" spans="1:6" ht="38.25" customHeight="1">
      <c r="A12" s="67" t="s">
        <v>12</v>
      </c>
      <c r="B12" s="67"/>
      <c r="C12" s="65">
        <f>C10/0.8</f>
        <v>4844076.9504200807</v>
      </c>
      <c r="E12" s="64" t="s">
        <v>13</v>
      </c>
      <c r="F12" s="55">
        <f>'EMI Calculator'!C11</f>
        <v>5724738.4396639727</v>
      </c>
    </row>
    <row r="13" spans="1:6">
      <c r="A13" s="56"/>
      <c r="B13" s="56"/>
      <c r="C13" s="57"/>
    </row>
    <row r="14" spans="1:6" hidden="1">
      <c r="A14" s="8" t="s">
        <v>14</v>
      </c>
      <c r="C14" s="8">
        <f>0.55*C4</f>
        <v>55000.000000000007</v>
      </c>
    </row>
  </sheetData>
  <sheetProtection algorithmName="SHA-512" hashValue="rqBiX3R15o9ZJvkIbc0nd/jRFXXect6wrtEt5A6d9GrWPzDwEBEyT62hzx/pMHigpiPNJooLFa9fFebsGf945Q==" saltValue="Kef5llFiOJz7rqsN+qNjAA==" spinCount="100000" sheet="1" objects="1" scenarios="1" selectLockedCells="1"/>
  <mergeCells count="2">
    <mergeCell ref="E1:F1"/>
    <mergeCell ref="A12:B12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4"/>
  <sheetViews>
    <sheetView showGridLines="0" workbookViewId="0">
      <selection activeCell="D7" sqref="D7"/>
    </sheetView>
  </sheetViews>
  <sheetFormatPr defaultRowHeight="15"/>
  <cols>
    <col min="1" max="1" width="9.5703125" style="21" customWidth="1"/>
    <col min="2" max="2" width="13.140625" style="8" customWidth="1"/>
    <col min="3" max="3" width="14.140625" style="8" customWidth="1"/>
    <col min="4" max="4" width="13.5703125" style="8" bestFit="1" customWidth="1"/>
    <col min="5" max="5" width="12.42578125" style="8" customWidth="1"/>
    <col min="6" max="6" width="12" style="12" customWidth="1"/>
    <col min="7" max="7" width="12.42578125" style="12" customWidth="1"/>
    <col min="8" max="8" width="12.7109375" style="8" bestFit="1" customWidth="1"/>
    <col min="9" max="10" width="9.140625" style="8" customWidth="1"/>
    <col min="11" max="11" width="0" style="8" hidden="1" customWidth="1"/>
    <col min="12" max="16384" width="9.140625" style="8"/>
  </cols>
  <sheetData>
    <row r="1" spans="1:7" ht="26.25">
      <c r="A1" s="6" t="s">
        <v>15</v>
      </c>
      <c r="B1" s="7"/>
      <c r="C1" s="7"/>
      <c r="D1" s="7"/>
      <c r="E1" s="7"/>
      <c r="F1" s="69" t="s">
        <v>16</v>
      </c>
      <c r="G1" s="69"/>
    </row>
    <row r="2" spans="1:7" ht="7.5" customHeight="1">
      <c r="A2" s="9"/>
      <c r="F2" s="10"/>
      <c r="G2" s="10"/>
    </row>
    <row r="3" spans="1:7" ht="23.25">
      <c r="A3" s="70" t="s">
        <v>2</v>
      </c>
      <c r="B3" s="70"/>
      <c r="C3" s="11"/>
    </row>
    <row r="4" spans="1:7" ht="15.75">
      <c r="A4" s="71" t="s">
        <v>17</v>
      </c>
      <c r="B4" s="71"/>
      <c r="C4" s="58">
        <f>'Loan Eligibility'!C10</f>
        <v>3875261.5603360645</v>
      </c>
    </row>
    <row r="5" spans="1:7" ht="15.75">
      <c r="A5" s="71" t="s">
        <v>18</v>
      </c>
      <c r="B5" s="71"/>
      <c r="C5" s="59">
        <f>'Loan Eligibility'!C6</f>
        <v>0.11</v>
      </c>
    </row>
    <row r="6" spans="1:7" ht="15.75">
      <c r="A6" s="71" t="s">
        <v>19</v>
      </c>
      <c r="B6" s="71"/>
      <c r="C6" s="60">
        <f>'Loan Eligibility'!C5</f>
        <v>20</v>
      </c>
    </row>
    <row r="7" spans="1:7">
      <c r="A7" s="13"/>
      <c r="B7" s="13"/>
    </row>
    <row r="8" spans="1:7">
      <c r="A8" s="68"/>
      <c r="B8" s="68"/>
      <c r="C8" s="14" t="s">
        <v>20</v>
      </c>
    </row>
    <row r="9" spans="1:7" ht="23.25">
      <c r="A9" s="70" t="s">
        <v>21</v>
      </c>
      <c r="B9" s="70"/>
      <c r="C9" s="15"/>
    </row>
    <row r="10" spans="1:7" ht="23.25">
      <c r="A10" s="72" t="s">
        <v>10</v>
      </c>
      <c r="B10" s="72"/>
      <c r="C10" s="16">
        <f>PMT(C5/12, C6*12, -C4, 0)</f>
        <v>40000.000000000116</v>
      </c>
    </row>
    <row r="11" spans="1:7" ht="15.75">
      <c r="A11" s="17" t="s">
        <v>13</v>
      </c>
      <c r="B11" s="17"/>
      <c r="C11" s="18">
        <f>C48</f>
        <v>5724738.4396639727</v>
      </c>
    </row>
    <row r="12" spans="1:7" ht="15.75">
      <c r="A12" s="17" t="s">
        <v>11</v>
      </c>
      <c r="B12" s="17"/>
      <c r="C12" s="19">
        <f>C4</f>
        <v>3875261.5603360645</v>
      </c>
    </row>
    <row r="13" spans="1:7" ht="15.75">
      <c r="A13" s="73" t="s">
        <v>22</v>
      </c>
      <c r="B13" s="74"/>
      <c r="C13" s="20">
        <f>D48</f>
        <v>9600000.0000000317</v>
      </c>
    </row>
    <row r="15" spans="1:7" ht="26.25">
      <c r="A15" s="22" t="s">
        <v>23</v>
      </c>
      <c r="B15" s="15"/>
      <c r="C15" s="15"/>
      <c r="D15" s="15"/>
      <c r="E15" s="15"/>
      <c r="F15" s="15"/>
      <c r="G15" s="15"/>
    </row>
    <row r="16" spans="1:7" ht="19.5" customHeight="1">
      <c r="F16" s="75" t="s">
        <v>24</v>
      </c>
      <c r="G16" s="75"/>
    </row>
    <row r="17" spans="1:11" s="23" customFormat="1" ht="30">
      <c r="A17" s="1" t="s">
        <v>25</v>
      </c>
      <c r="B17" s="2" t="s">
        <v>26</v>
      </c>
      <c r="C17" s="3" t="s">
        <v>27</v>
      </c>
      <c r="D17" s="4" t="s">
        <v>28</v>
      </c>
      <c r="E17" s="5" t="s">
        <v>29</v>
      </c>
      <c r="F17" s="4" t="s">
        <v>30</v>
      </c>
      <c r="G17" s="4" t="s">
        <v>31</v>
      </c>
      <c r="K17" s="23" t="s">
        <v>32</v>
      </c>
    </row>
    <row r="18" spans="1:11">
      <c r="A18" s="24">
        <v>1</v>
      </c>
      <c r="B18" s="25">
        <f t="shared" ref="B18:B47" si="0">SUMIF(K53:K412, LOOKUP(A18, K53:K412), B53:B412)</f>
        <v>56514.163864978393</v>
      </c>
      <c r="C18" s="26">
        <f t="shared" ref="C18:C47" si="1">SUMIF(K53:K412, LOOKUP(A18, K53:K412), C53:C412)</f>
        <v>423485.83613502304</v>
      </c>
      <c r="D18" s="27">
        <f>B18+C18</f>
        <v>480000.00000000146</v>
      </c>
      <c r="E18" s="28">
        <f>LOOKUP(K18:K47, A53:A412, E53:E412)</f>
        <v>3818747.396471086</v>
      </c>
      <c r="F18" s="29">
        <f>LOOKUP(K18:K47, A53:A412, F53:F412)</f>
        <v>423485.83613502304</v>
      </c>
      <c r="G18" s="29">
        <f>LOOKUP(K18:K47, A53:A412, G53:G412)</f>
        <v>56514.163864978393</v>
      </c>
      <c r="K18" s="8">
        <f>A18*12</f>
        <v>12</v>
      </c>
    </row>
    <row r="19" spans="1:11">
      <c r="A19" s="24">
        <f>A18+1</f>
        <v>2</v>
      </c>
      <c r="B19" s="25">
        <f t="shared" si="0"/>
        <v>63053.917135979296</v>
      </c>
      <c r="C19" s="26">
        <f t="shared" si="1"/>
        <v>416946.08286402217</v>
      </c>
      <c r="D19" s="27">
        <f t="shared" ref="D19:D47" si="2">B19+C19</f>
        <v>480000.00000000146</v>
      </c>
      <c r="E19" s="28">
        <f>LOOKUP(K19:K48, A54:A413, E54:E413)</f>
        <v>3755693.4793351064</v>
      </c>
      <c r="F19" s="29">
        <f>LOOKUP(K19:K48, A54:A413, F54:F413)</f>
        <v>840431.91899904516</v>
      </c>
      <c r="G19" s="29">
        <f>LOOKUP(K19:K48, A54:A413, G54:G413)</f>
        <v>119568.08100095768</v>
      </c>
      <c r="K19" s="8">
        <f t="shared" ref="K19:K47" si="3">A19*12</f>
        <v>24</v>
      </c>
    </row>
    <row r="20" spans="1:11">
      <c r="A20" s="24">
        <f t="shared" ref="A20:A47" si="4">A19+1</f>
        <v>3</v>
      </c>
      <c r="B20" s="25">
        <f t="shared" si="0"/>
        <v>70350.443044504209</v>
      </c>
      <c r="C20" s="26">
        <f t="shared" si="1"/>
        <v>409649.55695549719</v>
      </c>
      <c r="D20" s="27">
        <f t="shared" si="2"/>
        <v>480000.0000000014</v>
      </c>
      <c r="E20" s="28">
        <f>LOOKUP(K20:K49, A55:A414, E55:E414)</f>
        <v>3685343.0362906032</v>
      </c>
      <c r="F20" s="29">
        <f>LOOKUP(K20:K49, A55:A414, F55:F414)</f>
        <v>1250081.4759545422</v>
      </c>
      <c r="G20" s="29">
        <f>LOOKUP(K20:K49, A55:A414, G55:G414)</f>
        <v>189918.52404546188</v>
      </c>
      <c r="K20" s="8">
        <f t="shared" si="3"/>
        <v>36</v>
      </c>
    </row>
    <row r="21" spans="1:11">
      <c r="A21" s="24">
        <f t="shared" si="4"/>
        <v>4</v>
      </c>
      <c r="B21" s="25">
        <f t="shared" si="0"/>
        <v>78491.31443943175</v>
      </c>
      <c r="C21" s="26">
        <f t="shared" si="1"/>
        <v>401508.68556056963</v>
      </c>
      <c r="D21" s="27">
        <f t="shared" si="2"/>
        <v>480000.0000000014</v>
      </c>
      <c r="E21" s="28">
        <f t="shared" ref="E21:E47" si="5">LOOKUP(K21:K51, A56:A415, E56:E415)</f>
        <v>3606851.7218511719</v>
      </c>
      <c r="F21" s="29">
        <f t="shared" ref="F21:F47" si="6">LOOKUP(K21:K51, A56:A415, F56:F415)</f>
        <v>1651590.161515112</v>
      </c>
      <c r="G21" s="29">
        <f t="shared" ref="G21:G47" si="7">LOOKUP(K21:K51, A56:A415, G56:G415)</f>
        <v>268409.83848489367</v>
      </c>
      <c r="K21" s="8">
        <f t="shared" si="3"/>
        <v>48</v>
      </c>
    </row>
    <row r="22" spans="1:11">
      <c r="A22" s="24">
        <f t="shared" si="4"/>
        <v>5</v>
      </c>
      <c r="B22" s="25">
        <f t="shared" si="0"/>
        <v>87574.237997795353</v>
      </c>
      <c r="C22" s="26">
        <f t="shared" si="1"/>
        <v>392425.76200220606</v>
      </c>
      <c r="D22" s="27">
        <f t="shared" si="2"/>
        <v>480000.0000000014</v>
      </c>
      <c r="E22" s="28">
        <f t="shared" si="5"/>
        <v>3519277.4838533769</v>
      </c>
      <c r="F22" s="29">
        <f t="shared" si="6"/>
        <v>2044015.9235173182</v>
      </c>
      <c r="G22" s="29">
        <f t="shared" si="7"/>
        <v>355984.07648268901</v>
      </c>
      <c r="K22" s="8">
        <f t="shared" si="3"/>
        <v>60</v>
      </c>
    </row>
    <row r="23" spans="1:11">
      <c r="A23" s="24">
        <f t="shared" si="4"/>
        <v>6</v>
      </c>
      <c r="B23" s="25">
        <f t="shared" si="0"/>
        <v>97708.226899582849</v>
      </c>
      <c r="C23" s="26">
        <f t="shared" si="1"/>
        <v>382291.77310041856</v>
      </c>
      <c r="D23" s="27">
        <f t="shared" si="2"/>
        <v>480000.0000000014</v>
      </c>
      <c r="E23" s="28">
        <f t="shared" si="5"/>
        <v>3421569.2569537936</v>
      </c>
      <c r="F23" s="29">
        <f t="shared" si="6"/>
        <v>2426307.6966177369</v>
      </c>
      <c r="G23" s="29">
        <f t="shared" si="7"/>
        <v>453692.30338227184</v>
      </c>
      <c r="K23" s="8">
        <f t="shared" si="3"/>
        <v>72</v>
      </c>
    </row>
    <row r="24" spans="1:11">
      <c r="A24" s="24">
        <f t="shared" si="4"/>
        <v>7</v>
      </c>
      <c r="B24" s="25">
        <f t="shared" si="0"/>
        <v>109014.90920310045</v>
      </c>
      <c r="C24" s="26">
        <f t="shared" si="1"/>
        <v>370985.09079690091</v>
      </c>
      <c r="D24" s="27">
        <f t="shared" si="2"/>
        <v>480000.0000000014</v>
      </c>
      <c r="E24" s="28">
        <f t="shared" si="5"/>
        <v>3312554.347750694</v>
      </c>
      <c r="F24" s="29">
        <f t="shared" si="6"/>
        <v>2797292.7874146374</v>
      </c>
      <c r="G24" s="29">
        <f t="shared" si="7"/>
        <v>562707.21258537238</v>
      </c>
      <c r="K24" s="8">
        <f t="shared" si="3"/>
        <v>84</v>
      </c>
    </row>
    <row r="25" spans="1:11">
      <c r="A25" s="24">
        <f t="shared" si="4"/>
        <v>8</v>
      </c>
      <c r="B25" s="25">
        <f t="shared" si="0"/>
        <v>121629.98762401003</v>
      </c>
      <c r="C25" s="26">
        <f t="shared" si="1"/>
        <v>358370.01237599138</v>
      </c>
      <c r="D25" s="27">
        <f t="shared" si="2"/>
        <v>480000.0000000014</v>
      </c>
      <c r="E25" s="28">
        <f t="shared" si="5"/>
        <v>3190924.3601266844</v>
      </c>
      <c r="F25" s="29">
        <f t="shared" si="6"/>
        <v>3155662.7997906287</v>
      </c>
      <c r="G25" s="29">
        <f t="shared" si="7"/>
        <v>684337.20020938234</v>
      </c>
      <c r="K25" s="8">
        <f t="shared" si="3"/>
        <v>96</v>
      </c>
    </row>
    <row r="26" spans="1:11">
      <c r="A26" s="24">
        <f t="shared" si="4"/>
        <v>9</v>
      </c>
      <c r="B26" s="25">
        <f t="shared" si="0"/>
        <v>135704.86823829863</v>
      </c>
      <c r="C26" s="26">
        <f t="shared" si="1"/>
        <v>344295.13176170277</v>
      </c>
      <c r="D26" s="27">
        <f t="shared" si="2"/>
        <v>480000.0000000014</v>
      </c>
      <c r="E26" s="28">
        <f t="shared" si="5"/>
        <v>3055219.4918883862</v>
      </c>
      <c r="F26" s="29">
        <f t="shared" si="6"/>
        <v>3499957.9315523314</v>
      </c>
      <c r="G26" s="29">
        <f t="shared" si="7"/>
        <v>820042.06844768091</v>
      </c>
      <c r="K26" s="8">
        <f t="shared" si="3"/>
        <v>108</v>
      </c>
    </row>
    <row r="27" spans="1:11">
      <c r="A27" s="24">
        <f t="shared" si="4"/>
        <v>10</v>
      </c>
      <c r="B27" s="25">
        <f t="shared" si="0"/>
        <v>151408.47765685924</v>
      </c>
      <c r="C27" s="26">
        <f t="shared" si="1"/>
        <v>328591.52234314213</v>
      </c>
      <c r="D27" s="27">
        <f t="shared" si="2"/>
        <v>480000.0000000014</v>
      </c>
      <c r="E27" s="28">
        <f t="shared" si="5"/>
        <v>2903811.0142315277</v>
      </c>
      <c r="F27" s="29">
        <f t="shared" si="6"/>
        <v>3828549.4538954729</v>
      </c>
      <c r="G27" s="29">
        <f t="shared" si="7"/>
        <v>971450.54610454023</v>
      </c>
      <c r="K27" s="8">
        <f t="shared" si="3"/>
        <v>120</v>
      </c>
    </row>
    <row r="28" spans="1:11">
      <c r="A28" s="24">
        <f t="shared" si="4"/>
        <v>11</v>
      </c>
      <c r="B28" s="25">
        <f t="shared" si="0"/>
        <v>168929.29048139998</v>
      </c>
      <c r="C28" s="26">
        <f t="shared" si="1"/>
        <v>311070.70951860142</v>
      </c>
      <c r="D28" s="27">
        <f t="shared" si="2"/>
        <v>480000.0000000014</v>
      </c>
      <c r="E28" s="28">
        <f t="shared" si="5"/>
        <v>2734881.723750127</v>
      </c>
      <c r="F28" s="29">
        <f t="shared" si="6"/>
        <v>4139620.1634140741</v>
      </c>
      <c r="G28" s="29">
        <f t="shared" si="7"/>
        <v>1140379.8365859403</v>
      </c>
      <c r="K28" s="8">
        <f t="shared" si="3"/>
        <v>132</v>
      </c>
    </row>
    <row r="29" spans="1:11">
      <c r="A29" s="24">
        <f t="shared" si="4"/>
        <v>12</v>
      </c>
      <c r="B29" s="25">
        <f t="shared" si="0"/>
        <v>188477.59137519076</v>
      </c>
      <c r="C29" s="26">
        <f t="shared" si="1"/>
        <v>291522.40862481052</v>
      </c>
      <c r="D29" s="27">
        <f t="shared" si="2"/>
        <v>480000.00000000128</v>
      </c>
      <c r="E29" s="28">
        <f t="shared" si="5"/>
        <v>2546404.1323749358</v>
      </c>
      <c r="F29" s="29">
        <f t="shared" si="6"/>
        <v>4431142.5720388861</v>
      </c>
      <c r="G29" s="29">
        <f t="shared" si="7"/>
        <v>1328857.4279611309</v>
      </c>
      <c r="K29" s="8">
        <f t="shared" si="3"/>
        <v>144</v>
      </c>
    </row>
    <row r="30" spans="1:11">
      <c r="A30" s="24">
        <f t="shared" si="4"/>
        <v>13</v>
      </c>
      <c r="B30" s="25">
        <f t="shared" si="0"/>
        <v>210287.99889800488</v>
      </c>
      <c r="C30" s="26">
        <f t="shared" si="1"/>
        <v>269712.00110199652</v>
      </c>
      <c r="D30" s="27">
        <f t="shared" si="2"/>
        <v>480000.0000000014</v>
      </c>
      <c r="E30" s="28">
        <f t="shared" si="5"/>
        <v>2336116.1334769311</v>
      </c>
      <c r="F30" s="29">
        <f t="shared" si="6"/>
        <v>4700854.5731408838</v>
      </c>
      <c r="G30" s="29">
        <f t="shared" si="7"/>
        <v>1539145.4268591357</v>
      </c>
      <c r="K30" s="8">
        <f t="shared" si="3"/>
        <v>156</v>
      </c>
    </row>
    <row r="31" spans="1:11">
      <c r="A31" s="24">
        <f t="shared" si="4"/>
        <v>14</v>
      </c>
      <c r="B31" s="25">
        <f t="shared" si="0"/>
        <v>234622.28139630237</v>
      </c>
      <c r="C31" s="26">
        <f t="shared" si="1"/>
        <v>245377.71860369903</v>
      </c>
      <c r="D31" s="27">
        <f t="shared" si="2"/>
        <v>480000.0000000014</v>
      </c>
      <c r="E31" s="28">
        <f t="shared" si="5"/>
        <v>2101493.8520806287</v>
      </c>
      <c r="F31" s="29">
        <f t="shared" si="6"/>
        <v>4946232.2917445851</v>
      </c>
      <c r="G31" s="29">
        <f t="shared" si="7"/>
        <v>1773767.7082554384</v>
      </c>
      <c r="K31" s="8">
        <f t="shared" si="3"/>
        <v>168</v>
      </c>
    </row>
    <row r="32" spans="1:11">
      <c r="A32" s="24">
        <f t="shared" si="4"/>
        <v>15</v>
      </c>
      <c r="B32" s="25">
        <f t="shared" si="0"/>
        <v>261772.4987449483</v>
      </c>
      <c r="C32" s="26">
        <f t="shared" si="1"/>
        <v>218227.5012550531</v>
      </c>
      <c r="D32" s="27">
        <f t="shared" si="2"/>
        <v>480000.0000000014</v>
      </c>
      <c r="E32" s="28">
        <f t="shared" si="5"/>
        <v>1839721.3533356802</v>
      </c>
      <c r="F32" s="29">
        <f t="shared" si="6"/>
        <v>5164459.7929996382</v>
      </c>
      <c r="G32" s="29">
        <f t="shared" si="7"/>
        <v>2035540.2070003869</v>
      </c>
      <c r="K32" s="8">
        <f t="shared" si="3"/>
        <v>180</v>
      </c>
    </row>
    <row r="33" spans="1:11">
      <c r="A33" s="24">
        <f t="shared" si="4"/>
        <v>16</v>
      </c>
      <c r="B33" s="25">
        <f t="shared" si="0"/>
        <v>292064.50764762674</v>
      </c>
      <c r="C33" s="26">
        <f t="shared" si="1"/>
        <v>187935.49235237465</v>
      </c>
      <c r="D33" s="27">
        <f t="shared" si="2"/>
        <v>480000.0000000014</v>
      </c>
      <c r="E33" s="28">
        <f t="shared" si="5"/>
        <v>1547656.8456880536</v>
      </c>
      <c r="F33" s="29">
        <f t="shared" si="6"/>
        <v>5352395.2853520131</v>
      </c>
      <c r="G33" s="29">
        <f t="shared" si="7"/>
        <v>2327604.7146480135</v>
      </c>
      <c r="K33" s="8">
        <f t="shared" si="3"/>
        <v>192</v>
      </c>
    </row>
    <row r="34" spans="1:11">
      <c r="A34" s="24">
        <f t="shared" si="4"/>
        <v>17</v>
      </c>
      <c r="B34" s="25">
        <f t="shared" si="0"/>
        <v>325861.87256653816</v>
      </c>
      <c r="C34" s="26">
        <f t="shared" si="1"/>
        <v>154138.12743346329</v>
      </c>
      <c r="D34" s="27">
        <f t="shared" si="2"/>
        <v>480000.00000000146</v>
      </c>
      <c r="E34" s="28">
        <f t="shared" si="5"/>
        <v>1221794.9731215157</v>
      </c>
      <c r="F34" s="29">
        <f t="shared" si="6"/>
        <v>5506533.4127854761</v>
      </c>
      <c r="G34" s="29">
        <f t="shared" si="7"/>
        <v>2653466.5872145514</v>
      </c>
      <c r="K34" s="8">
        <f t="shared" si="3"/>
        <v>204</v>
      </c>
    </row>
    <row r="35" spans="1:11">
      <c r="A35" s="24">
        <f t="shared" si="4"/>
        <v>18</v>
      </c>
      <c r="B35" s="25">
        <f t="shared" si="0"/>
        <v>363570.22922033089</v>
      </c>
      <c r="C35" s="26">
        <f t="shared" si="1"/>
        <v>116429.77077967054</v>
      </c>
      <c r="D35" s="27">
        <f t="shared" si="2"/>
        <v>480000.0000000014</v>
      </c>
      <c r="E35" s="28">
        <f t="shared" si="5"/>
        <v>858224.74390118488</v>
      </c>
      <c r="F35" s="29">
        <f t="shared" si="6"/>
        <v>5622963.1835651463</v>
      </c>
      <c r="G35" s="29">
        <f t="shared" si="7"/>
        <v>3017036.8164348821</v>
      </c>
      <c r="K35" s="8">
        <f t="shared" si="3"/>
        <v>216</v>
      </c>
    </row>
    <row r="36" spans="1:11">
      <c r="A36" s="24">
        <f t="shared" si="4"/>
        <v>19</v>
      </c>
      <c r="B36" s="25">
        <f t="shared" si="0"/>
        <v>405642.15302093455</v>
      </c>
      <c r="C36" s="26">
        <f t="shared" si="1"/>
        <v>74357.846979066861</v>
      </c>
      <c r="D36" s="27">
        <f t="shared" si="2"/>
        <v>480000.0000000014</v>
      </c>
      <c r="E36" s="28">
        <f t="shared" si="5"/>
        <v>452582.59088025027</v>
      </c>
      <c r="F36" s="29">
        <f t="shared" si="6"/>
        <v>5697321.030544214</v>
      </c>
      <c r="G36" s="29">
        <f t="shared" si="7"/>
        <v>3422678.9694558159</v>
      </c>
      <c r="K36" s="8">
        <f t="shared" si="3"/>
        <v>228</v>
      </c>
    </row>
    <row r="37" spans="1:11">
      <c r="A37" s="24">
        <f t="shared" si="4"/>
        <v>20</v>
      </c>
      <c r="B37" s="25">
        <f t="shared" si="0"/>
        <v>452582.59088023775</v>
      </c>
      <c r="C37" s="26">
        <f t="shared" si="1"/>
        <v>27417.409119763619</v>
      </c>
      <c r="D37" s="27">
        <f t="shared" si="2"/>
        <v>480000.0000000014</v>
      </c>
      <c r="E37" s="28">
        <f t="shared" si="5"/>
        <v>1.2485543265938759E-8</v>
      </c>
      <c r="F37" s="29">
        <f t="shared" si="6"/>
        <v>5724738.4396639783</v>
      </c>
      <c r="G37" s="29">
        <f t="shared" si="7"/>
        <v>3875261.5603360538</v>
      </c>
      <c r="K37" s="8">
        <f t="shared" si="3"/>
        <v>240</v>
      </c>
    </row>
    <row r="38" spans="1:11">
      <c r="A38" s="24">
        <f t="shared" si="4"/>
        <v>21</v>
      </c>
      <c r="B38" s="25">
        <f t="shared" si="0"/>
        <v>0</v>
      </c>
      <c r="C38" s="26">
        <f t="shared" si="1"/>
        <v>0</v>
      </c>
      <c r="D38" s="27">
        <f t="shared" si="2"/>
        <v>0</v>
      </c>
      <c r="E38" s="28">
        <f t="shared" si="5"/>
        <v>0</v>
      </c>
      <c r="F38" s="29">
        <f t="shared" si="6"/>
        <v>0</v>
      </c>
      <c r="G38" s="29">
        <f t="shared" si="7"/>
        <v>0</v>
      </c>
      <c r="K38" s="8">
        <f t="shared" si="3"/>
        <v>252</v>
      </c>
    </row>
    <row r="39" spans="1:11">
      <c r="A39" s="24">
        <f t="shared" si="4"/>
        <v>22</v>
      </c>
      <c r="B39" s="25">
        <f t="shared" si="0"/>
        <v>0</v>
      </c>
      <c r="C39" s="26">
        <f t="shared" si="1"/>
        <v>0</v>
      </c>
      <c r="D39" s="27">
        <f t="shared" si="2"/>
        <v>0</v>
      </c>
      <c r="E39" s="28">
        <f t="shared" si="5"/>
        <v>0</v>
      </c>
      <c r="F39" s="29">
        <f t="shared" si="6"/>
        <v>0</v>
      </c>
      <c r="G39" s="29">
        <f t="shared" si="7"/>
        <v>0</v>
      </c>
      <c r="K39" s="8">
        <f t="shared" si="3"/>
        <v>264</v>
      </c>
    </row>
    <row r="40" spans="1:11">
      <c r="A40" s="24">
        <f t="shared" si="4"/>
        <v>23</v>
      </c>
      <c r="B40" s="25">
        <f t="shared" si="0"/>
        <v>0</v>
      </c>
      <c r="C40" s="26">
        <f t="shared" si="1"/>
        <v>0</v>
      </c>
      <c r="D40" s="27">
        <f t="shared" si="2"/>
        <v>0</v>
      </c>
      <c r="E40" s="28">
        <f t="shared" si="5"/>
        <v>0</v>
      </c>
      <c r="F40" s="29">
        <f t="shared" si="6"/>
        <v>0</v>
      </c>
      <c r="G40" s="29">
        <f t="shared" si="7"/>
        <v>0</v>
      </c>
      <c r="K40" s="8">
        <f t="shared" si="3"/>
        <v>276</v>
      </c>
    </row>
    <row r="41" spans="1:11">
      <c r="A41" s="24">
        <f t="shared" si="4"/>
        <v>24</v>
      </c>
      <c r="B41" s="25">
        <f t="shared" si="0"/>
        <v>0</v>
      </c>
      <c r="C41" s="26">
        <f t="shared" si="1"/>
        <v>0</v>
      </c>
      <c r="D41" s="27">
        <f t="shared" si="2"/>
        <v>0</v>
      </c>
      <c r="E41" s="28">
        <f t="shared" si="5"/>
        <v>0</v>
      </c>
      <c r="F41" s="29">
        <f t="shared" si="6"/>
        <v>0</v>
      </c>
      <c r="G41" s="29">
        <f t="shared" si="7"/>
        <v>0</v>
      </c>
      <c r="K41" s="8">
        <f t="shared" si="3"/>
        <v>288</v>
      </c>
    </row>
    <row r="42" spans="1:11">
      <c r="A42" s="24">
        <f t="shared" si="4"/>
        <v>25</v>
      </c>
      <c r="B42" s="25">
        <f t="shared" si="0"/>
        <v>0</v>
      </c>
      <c r="C42" s="26">
        <f t="shared" si="1"/>
        <v>0</v>
      </c>
      <c r="D42" s="27">
        <f t="shared" si="2"/>
        <v>0</v>
      </c>
      <c r="E42" s="28">
        <f t="shared" si="5"/>
        <v>0</v>
      </c>
      <c r="F42" s="29">
        <f t="shared" si="6"/>
        <v>0</v>
      </c>
      <c r="G42" s="29">
        <f t="shared" si="7"/>
        <v>0</v>
      </c>
      <c r="K42" s="8">
        <f t="shared" si="3"/>
        <v>300</v>
      </c>
    </row>
    <row r="43" spans="1:11">
      <c r="A43" s="24">
        <f t="shared" si="4"/>
        <v>26</v>
      </c>
      <c r="B43" s="25">
        <f t="shared" si="0"/>
        <v>0</v>
      </c>
      <c r="C43" s="26">
        <f t="shared" si="1"/>
        <v>0</v>
      </c>
      <c r="D43" s="27">
        <f t="shared" si="2"/>
        <v>0</v>
      </c>
      <c r="E43" s="28">
        <f t="shared" si="5"/>
        <v>0</v>
      </c>
      <c r="F43" s="29">
        <f t="shared" si="6"/>
        <v>0</v>
      </c>
      <c r="G43" s="29">
        <f t="shared" si="7"/>
        <v>0</v>
      </c>
      <c r="K43" s="8">
        <f t="shared" si="3"/>
        <v>312</v>
      </c>
    </row>
    <row r="44" spans="1:11">
      <c r="A44" s="24">
        <f t="shared" si="4"/>
        <v>27</v>
      </c>
      <c r="B44" s="25">
        <f t="shared" si="0"/>
        <v>0</v>
      </c>
      <c r="C44" s="26">
        <f t="shared" si="1"/>
        <v>0</v>
      </c>
      <c r="D44" s="27">
        <f t="shared" si="2"/>
        <v>0</v>
      </c>
      <c r="E44" s="28">
        <f t="shared" si="5"/>
        <v>0</v>
      </c>
      <c r="F44" s="29">
        <f t="shared" si="6"/>
        <v>0</v>
      </c>
      <c r="G44" s="29">
        <f t="shared" si="7"/>
        <v>0</v>
      </c>
      <c r="K44" s="8">
        <f t="shared" si="3"/>
        <v>324</v>
      </c>
    </row>
    <row r="45" spans="1:11">
      <c r="A45" s="24">
        <f t="shared" si="4"/>
        <v>28</v>
      </c>
      <c r="B45" s="25">
        <f t="shared" si="0"/>
        <v>0</v>
      </c>
      <c r="C45" s="26">
        <f t="shared" si="1"/>
        <v>0</v>
      </c>
      <c r="D45" s="27">
        <f t="shared" si="2"/>
        <v>0</v>
      </c>
      <c r="E45" s="28">
        <f t="shared" si="5"/>
        <v>0</v>
      </c>
      <c r="F45" s="29">
        <f t="shared" si="6"/>
        <v>0</v>
      </c>
      <c r="G45" s="29">
        <f t="shared" si="7"/>
        <v>0</v>
      </c>
      <c r="K45" s="8">
        <f t="shared" si="3"/>
        <v>336</v>
      </c>
    </row>
    <row r="46" spans="1:11">
      <c r="A46" s="24">
        <f>A45+1</f>
        <v>29</v>
      </c>
      <c r="B46" s="25">
        <f t="shared" si="0"/>
        <v>0</v>
      </c>
      <c r="C46" s="26">
        <f t="shared" si="1"/>
        <v>0</v>
      </c>
      <c r="D46" s="27">
        <f t="shared" si="2"/>
        <v>0</v>
      </c>
      <c r="E46" s="28">
        <f t="shared" si="5"/>
        <v>0</v>
      </c>
      <c r="F46" s="29">
        <f t="shared" si="6"/>
        <v>0</v>
      </c>
      <c r="G46" s="29">
        <f t="shared" si="7"/>
        <v>0</v>
      </c>
      <c r="K46" s="8">
        <f t="shared" si="3"/>
        <v>348</v>
      </c>
    </row>
    <row r="47" spans="1:11">
      <c r="A47" s="24">
        <f t="shared" si="4"/>
        <v>30</v>
      </c>
      <c r="B47" s="25">
        <f t="shared" si="0"/>
        <v>0</v>
      </c>
      <c r="C47" s="26">
        <f t="shared" si="1"/>
        <v>0</v>
      </c>
      <c r="D47" s="27">
        <f t="shared" si="2"/>
        <v>0</v>
      </c>
      <c r="E47" s="28">
        <f t="shared" si="5"/>
        <v>0</v>
      </c>
      <c r="F47" s="29">
        <f t="shared" si="6"/>
        <v>0</v>
      </c>
      <c r="G47" s="29">
        <f t="shared" si="7"/>
        <v>0</v>
      </c>
      <c r="K47" s="8">
        <f t="shared" si="3"/>
        <v>360</v>
      </c>
    </row>
    <row r="48" spans="1:11" s="36" customFormat="1" ht="15.75" thickBot="1">
      <c r="A48" s="30" t="s">
        <v>33</v>
      </c>
      <c r="B48" s="31">
        <f>SUM(B18:B47)</f>
        <v>3875261.5603360543</v>
      </c>
      <c r="C48" s="32">
        <f t="shared" ref="C48:D48" si="8">SUM(C18:C47)</f>
        <v>5724738.4396639727</v>
      </c>
      <c r="D48" s="33">
        <f t="shared" si="8"/>
        <v>9600000.0000000317</v>
      </c>
      <c r="E48" s="34"/>
      <c r="F48" s="35"/>
      <c r="G48" s="35"/>
    </row>
    <row r="49" spans="1:11" ht="38.25" customHeight="1" thickTop="1"/>
    <row r="50" spans="1:11" ht="31.5" customHeight="1">
      <c r="A50" s="22" t="s">
        <v>34</v>
      </c>
      <c r="B50" s="15"/>
      <c r="C50" s="15"/>
      <c r="D50" s="15"/>
      <c r="E50" s="15"/>
      <c r="F50" s="15"/>
      <c r="G50" s="15"/>
    </row>
    <row r="51" spans="1:11" ht="21.75" customHeight="1">
      <c r="F51" s="75" t="s">
        <v>24</v>
      </c>
      <c r="G51" s="75"/>
    </row>
    <row r="52" spans="1:11" s="23" customFormat="1" ht="30">
      <c r="A52" s="1" t="s">
        <v>35</v>
      </c>
      <c r="B52" s="2" t="s">
        <v>26</v>
      </c>
      <c r="C52" s="3" t="s">
        <v>27</v>
      </c>
      <c r="D52" s="4" t="s">
        <v>28</v>
      </c>
      <c r="E52" s="5" t="s">
        <v>29</v>
      </c>
      <c r="F52" s="4" t="s">
        <v>30</v>
      </c>
      <c r="G52" s="4" t="s">
        <v>31</v>
      </c>
      <c r="K52" s="23" t="s">
        <v>25</v>
      </c>
    </row>
    <row r="53" spans="1:11">
      <c r="A53" s="24">
        <v>1</v>
      </c>
      <c r="B53" s="25">
        <f>IF(A53&lt;=$C$6*12,D53-C53,0)</f>
        <v>4476.7690302528572</v>
      </c>
      <c r="C53" s="37">
        <f>IF(A53&lt;=$C$6*12, $C$4*$C$5/12, 0)</f>
        <v>35523.230969747259</v>
      </c>
      <c r="D53" s="27">
        <f t="shared" ref="D53:D116" si="9">IF(A53&lt;=$C$6*12, $C$10, 0)</f>
        <v>40000.000000000116</v>
      </c>
      <c r="E53" s="38">
        <f>IF(A53&lt;=$C$6*12, C4-B53, 0)</f>
        <v>3870784.7913058116</v>
      </c>
      <c r="F53" s="39">
        <f>IF(A53&lt;=$C$6*12, C53, 0)</f>
        <v>35523.230969747259</v>
      </c>
      <c r="G53" s="39">
        <f>IF(A53&lt;=$C$6*12,B53,0)</f>
        <v>4476.7690302528572</v>
      </c>
      <c r="K53" s="8">
        <v>1</v>
      </c>
    </row>
    <row r="54" spans="1:11">
      <c r="A54" s="24">
        <f>A53+1</f>
        <v>2</v>
      </c>
      <c r="B54" s="25">
        <f>IF(A53&lt;=$C$6*12,D54-C54,0)</f>
        <v>4517.8060796968421</v>
      </c>
      <c r="C54" s="37">
        <f>IF(A54&lt;=$C$6*12, E53*$C$5/12, 0)</f>
        <v>35482.193920303274</v>
      </c>
      <c r="D54" s="27">
        <f t="shared" si="9"/>
        <v>40000.000000000116</v>
      </c>
      <c r="E54" s="38">
        <f>IF(A54&lt;=$C$6*12, E53-B54, 0)</f>
        <v>3866266.9852261147</v>
      </c>
      <c r="F54" s="39">
        <f t="shared" ref="F54:F117" si="10">IF(A54&lt;=$C$6*12, F53+C54, 0)</f>
        <v>71005.424890050534</v>
      </c>
      <c r="G54" s="39">
        <f t="shared" ref="G54:G117" si="11">IF(A54&lt;=$C$6*12, G53+B54, 0)</f>
        <v>8994.5751099496993</v>
      </c>
      <c r="K54" s="8">
        <v>1</v>
      </c>
    </row>
    <row r="55" spans="1:11">
      <c r="A55" s="24">
        <f t="shared" ref="A55:A118" si="12">A54+1</f>
        <v>3</v>
      </c>
      <c r="B55" s="25">
        <f t="shared" ref="B55:B118" si="13">IF(A54&lt;=$C$6*12,D55-C55,0)</f>
        <v>4559.2193020940686</v>
      </c>
      <c r="C55" s="37">
        <f t="shared" ref="C55:C118" si="14">IF(A55&lt;=$C$6*12, E54*$C$5/12, 0)</f>
        <v>35440.780697906048</v>
      </c>
      <c r="D55" s="27">
        <f t="shared" si="9"/>
        <v>40000.000000000116</v>
      </c>
      <c r="E55" s="38">
        <f t="shared" ref="E55:E118" si="15">IF(A55&lt;=$C$6*12, E54-B55, 0)</f>
        <v>3861707.7659240207</v>
      </c>
      <c r="F55" s="39">
        <f t="shared" si="10"/>
        <v>106446.20558795659</v>
      </c>
      <c r="G55" s="39">
        <f t="shared" si="11"/>
        <v>13553.794412043768</v>
      </c>
      <c r="K55" s="8">
        <v>1</v>
      </c>
    </row>
    <row r="56" spans="1:11">
      <c r="A56" s="24">
        <f t="shared" si="12"/>
        <v>4</v>
      </c>
      <c r="B56" s="25">
        <f t="shared" si="13"/>
        <v>4601.0121456965935</v>
      </c>
      <c r="C56" s="37">
        <f t="shared" si="14"/>
        <v>35398.987854303523</v>
      </c>
      <c r="D56" s="27">
        <f t="shared" si="9"/>
        <v>40000.000000000116</v>
      </c>
      <c r="E56" s="38">
        <f t="shared" si="15"/>
        <v>3857106.753778324</v>
      </c>
      <c r="F56" s="39">
        <f t="shared" si="10"/>
        <v>141845.19344226012</v>
      </c>
      <c r="G56" s="39">
        <f t="shared" si="11"/>
        <v>18154.806557740361</v>
      </c>
      <c r="K56" s="8">
        <v>1</v>
      </c>
    </row>
    <row r="57" spans="1:11">
      <c r="A57" s="24">
        <f t="shared" si="12"/>
        <v>5</v>
      </c>
      <c r="B57" s="25">
        <f t="shared" si="13"/>
        <v>4643.1880903654819</v>
      </c>
      <c r="C57" s="37">
        <f t="shared" si="14"/>
        <v>35356.811909634635</v>
      </c>
      <c r="D57" s="27">
        <f t="shared" si="9"/>
        <v>40000.000000000116</v>
      </c>
      <c r="E57" s="38">
        <f t="shared" si="15"/>
        <v>3852463.5656879586</v>
      </c>
      <c r="F57" s="39">
        <f t="shared" si="10"/>
        <v>177202.00535189477</v>
      </c>
      <c r="G57" s="39">
        <f t="shared" si="11"/>
        <v>22797.994648105843</v>
      </c>
      <c r="K57" s="8">
        <v>1</v>
      </c>
    </row>
    <row r="58" spans="1:11">
      <c r="A58" s="24">
        <f t="shared" si="12"/>
        <v>6</v>
      </c>
      <c r="B58" s="25">
        <f t="shared" si="13"/>
        <v>4685.7506478604992</v>
      </c>
      <c r="C58" s="37">
        <f t="shared" si="14"/>
        <v>35314.249352139617</v>
      </c>
      <c r="D58" s="27">
        <f t="shared" si="9"/>
        <v>40000.000000000116</v>
      </c>
      <c r="E58" s="38">
        <f t="shared" si="15"/>
        <v>3847777.815040098</v>
      </c>
      <c r="F58" s="39">
        <f t="shared" si="10"/>
        <v>212516.25470403439</v>
      </c>
      <c r="G58" s="39">
        <f t="shared" si="11"/>
        <v>27483.745295966342</v>
      </c>
      <c r="K58" s="8">
        <v>1</v>
      </c>
    </row>
    <row r="59" spans="1:11">
      <c r="A59" s="24">
        <f t="shared" si="12"/>
        <v>7</v>
      </c>
      <c r="B59" s="25">
        <f t="shared" si="13"/>
        <v>4728.7033621325463</v>
      </c>
      <c r="C59" s="37">
        <f t="shared" si="14"/>
        <v>35271.29663786757</v>
      </c>
      <c r="D59" s="27">
        <f t="shared" si="9"/>
        <v>40000.000000000116</v>
      </c>
      <c r="E59" s="38">
        <f t="shared" si="15"/>
        <v>3843049.1116779656</v>
      </c>
      <c r="F59" s="39">
        <f t="shared" si="10"/>
        <v>247787.55134190197</v>
      </c>
      <c r="G59" s="39">
        <f t="shared" si="11"/>
        <v>32212.448658098889</v>
      </c>
      <c r="K59" s="8">
        <v>1</v>
      </c>
    </row>
    <row r="60" spans="1:11">
      <c r="A60" s="24">
        <f t="shared" si="12"/>
        <v>8</v>
      </c>
      <c r="B60" s="25">
        <f t="shared" si="13"/>
        <v>4772.0498096187657</v>
      </c>
      <c r="C60" s="37">
        <f t="shared" si="14"/>
        <v>35227.950190381351</v>
      </c>
      <c r="D60" s="27">
        <f t="shared" si="9"/>
        <v>40000.000000000116</v>
      </c>
      <c r="E60" s="38">
        <f t="shared" si="15"/>
        <v>3838277.0618683468</v>
      </c>
      <c r="F60" s="39">
        <f t="shared" si="10"/>
        <v>283015.50153228332</v>
      </c>
      <c r="G60" s="39">
        <f t="shared" si="11"/>
        <v>36984.498467717654</v>
      </c>
      <c r="K60" s="8">
        <v>1</v>
      </c>
    </row>
    <row r="61" spans="1:11">
      <c r="A61" s="24">
        <f t="shared" si="12"/>
        <v>9</v>
      </c>
      <c r="B61" s="25">
        <f t="shared" si="13"/>
        <v>4815.7935995402731</v>
      </c>
      <c r="C61" s="37">
        <f t="shared" si="14"/>
        <v>35184.206400459843</v>
      </c>
      <c r="D61" s="27">
        <f t="shared" si="9"/>
        <v>40000.000000000116</v>
      </c>
      <c r="E61" s="38">
        <f t="shared" si="15"/>
        <v>3833461.2682688064</v>
      </c>
      <c r="F61" s="39">
        <f t="shared" si="10"/>
        <v>318199.70793274319</v>
      </c>
      <c r="G61" s="39">
        <f t="shared" si="11"/>
        <v>41800.292067257928</v>
      </c>
      <c r="K61" s="8">
        <v>1</v>
      </c>
    </row>
    <row r="62" spans="1:11">
      <c r="A62" s="24">
        <f t="shared" si="12"/>
        <v>10</v>
      </c>
      <c r="B62" s="25">
        <f t="shared" si="13"/>
        <v>4859.9383742027203</v>
      </c>
      <c r="C62" s="37">
        <f t="shared" si="14"/>
        <v>35140.061625797396</v>
      </c>
      <c r="D62" s="27">
        <f t="shared" si="9"/>
        <v>40000.000000000116</v>
      </c>
      <c r="E62" s="38">
        <f t="shared" si="15"/>
        <v>3828601.3298946037</v>
      </c>
      <c r="F62" s="39">
        <f t="shared" si="10"/>
        <v>353339.7695585406</v>
      </c>
      <c r="G62" s="39">
        <f t="shared" si="11"/>
        <v>46660.230441460648</v>
      </c>
      <c r="K62" s="8">
        <v>1</v>
      </c>
    </row>
    <row r="63" spans="1:11">
      <c r="A63" s="24">
        <f t="shared" si="12"/>
        <v>11</v>
      </c>
      <c r="B63" s="25">
        <f t="shared" si="13"/>
        <v>4904.4878092995859</v>
      </c>
      <c r="C63" s="37">
        <f t="shared" si="14"/>
        <v>35095.51219070053</v>
      </c>
      <c r="D63" s="27">
        <f t="shared" si="9"/>
        <v>40000.000000000116</v>
      </c>
      <c r="E63" s="38">
        <f t="shared" si="15"/>
        <v>3823696.8420853042</v>
      </c>
      <c r="F63" s="39">
        <f t="shared" si="10"/>
        <v>388435.28174924111</v>
      </c>
      <c r="G63" s="39">
        <f t="shared" si="11"/>
        <v>51564.718250760234</v>
      </c>
      <c r="K63" s="8">
        <v>1</v>
      </c>
    </row>
    <row r="64" spans="1:11">
      <c r="A64" s="24">
        <f t="shared" si="12"/>
        <v>12</v>
      </c>
      <c r="B64" s="25">
        <f t="shared" si="13"/>
        <v>4949.4456142181589</v>
      </c>
      <c r="C64" s="37">
        <f t="shared" si="14"/>
        <v>35050.554385781958</v>
      </c>
      <c r="D64" s="27">
        <f t="shared" si="9"/>
        <v>40000.000000000116</v>
      </c>
      <c r="E64" s="38">
        <f t="shared" si="15"/>
        <v>3818747.396471086</v>
      </c>
      <c r="F64" s="39">
        <f t="shared" si="10"/>
        <v>423485.83613502304</v>
      </c>
      <c r="G64" s="39">
        <f t="shared" si="11"/>
        <v>56514.163864978393</v>
      </c>
      <c r="K64" s="8">
        <v>1</v>
      </c>
    </row>
    <row r="65" spans="1:11">
      <c r="A65" s="24">
        <f t="shared" si="12"/>
        <v>13</v>
      </c>
      <c r="B65" s="25">
        <f t="shared" si="13"/>
        <v>4994.8155323484971</v>
      </c>
      <c r="C65" s="37">
        <f t="shared" si="14"/>
        <v>35005.184467651619</v>
      </c>
      <c r="D65" s="27">
        <f t="shared" si="9"/>
        <v>40000.000000000116</v>
      </c>
      <c r="E65" s="38">
        <f t="shared" si="15"/>
        <v>3813752.5809387374</v>
      </c>
      <c r="F65" s="39">
        <f t="shared" si="10"/>
        <v>458491.02060267469</v>
      </c>
      <c r="G65" s="39">
        <f t="shared" si="11"/>
        <v>61508.97939732689</v>
      </c>
      <c r="K65" s="8">
        <v>2</v>
      </c>
    </row>
    <row r="66" spans="1:11">
      <c r="A66" s="24">
        <f t="shared" si="12"/>
        <v>14</v>
      </c>
      <c r="B66" s="25">
        <f t="shared" si="13"/>
        <v>5040.6013413950204</v>
      </c>
      <c r="C66" s="37">
        <f t="shared" si="14"/>
        <v>34959.398658605096</v>
      </c>
      <c r="D66" s="27">
        <f t="shared" si="9"/>
        <v>40000.000000000116</v>
      </c>
      <c r="E66" s="38">
        <f t="shared" si="15"/>
        <v>3808711.9795973422</v>
      </c>
      <c r="F66" s="39">
        <f t="shared" si="10"/>
        <v>493450.41926127981</v>
      </c>
      <c r="G66" s="39">
        <f t="shared" si="11"/>
        <v>66549.58073872191</v>
      </c>
      <c r="K66" s="8">
        <v>2</v>
      </c>
    </row>
    <row r="67" spans="1:11">
      <c r="A67" s="24">
        <f t="shared" si="12"/>
        <v>15</v>
      </c>
      <c r="B67" s="25">
        <f t="shared" si="13"/>
        <v>5086.8068536911451</v>
      </c>
      <c r="C67" s="37">
        <f t="shared" si="14"/>
        <v>34913.193146308971</v>
      </c>
      <c r="D67" s="27">
        <f t="shared" si="9"/>
        <v>40000.000000000116</v>
      </c>
      <c r="E67" s="38">
        <f t="shared" si="15"/>
        <v>3803625.1727436511</v>
      </c>
      <c r="F67" s="39">
        <f t="shared" si="10"/>
        <v>528363.61240758875</v>
      </c>
      <c r="G67" s="39">
        <f t="shared" si="11"/>
        <v>71636.387592413055</v>
      </c>
      <c r="K67" s="8">
        <v>2</v>
      </c>
    </row>
    <row r="68" spans="1:11">
      <c r="A68" s="24">
        <f t="shared" si="12"/>
        <v>16</v>
      </c>
      <c r="B68" s="25">
        <f t="shared" si="13"/>
        <v>5133.4359165166461</v>
      </c>
      <c r="C68" s="37">
        <f t="shared" si="14"/>
        <v>34866.56408348347</v>
      </c>
      <c r="D68" s="27">
        <f t="shared" si="9"/>
        <v>40000.000000000116</v>
      </c>
      <c r="E68" s="38">
        <f t="shared" si="15"/>
        <v>3798491.7368271346</v>
      </c>
      <c r="F68" s="39">
        <f t="shared" si="10"/>
        <v>563230.17649107217</v>
      </c>
      <c r="G68" s="39">
        <f t="shared" si="11"/>
        <v>76769.823508929694</v>
      </c>
      <c r="K68" s="8">
        <v>2</v>
      </c>
    </row>
    <row r="69" spans="1:11">
      <c r="A69" s="24">
        <f t="shared" si="12"/>
        <v>17</v>
      </c>
      <c r="B69" s="25">
        <f t="shared" si="13"/>
        <v>5180.492412418047</v>
      </c>
      <c r="C69" s="37">
        <f t="shared" si="14"/>
        <v>34819.507587582069</v>
      </c>
      <c r="D69" s="27">
        <f t="shared" si="9"/>
        <v>40000.000000000116</v>
      </c>
      <c r="E69" s="38">
        <f t="shared" si="15"/>
        <v>3793311.2444147165</v>
      </c>
      <c r="F69" s="39">
        <f t="shared" si="10"/>
        <v>598049.68407865427</v>
      </c>
      <c r="G69" s="39">
        <f t="shared" si="11"/>
        <v>81950.315921347734</v>
      </c>
      <c r="K69" s="8">
        <v>2</v>
      </c>
    </row>
    <row r="70" spans="1:11">
      <c r="A70" s="24">
        <f t="shared" si="12"/>
        <v>18</v>
      </c>
      <c r="B70" s="25">
        <f t="shared" si="13"/>
        <v>5227.9802595318833</v>
      </c>
      <c r="C70" s="37">
        <f t="shared" si="14"/>
        <v>34772.019740468233</v>
      </c>
      <c r="D70" s="27">
        <f t="shared" si="9"/>
        <v>40000.000000000116</v>
      </c>
      <c r="E70" s="38">
        <f t="shared" si="15"/>
        <v>3788083.2641551844</v>
      </c>
      <c r="F70" s="39">
        <f t="shared" si="10"/>
        <v>632821.70381912251</v>
      </c>
      <c r="G70" s="39">
        <f t="shared" si="11"/>
        <v>87178.29618087961</v>
      </c>
      <c r="K70" s="8">
        <v>2</v>
      </c>
    </row>
    <row r="71" spans="1:11">
      <c r="A71" s="24">
        <f t="shared" si="12"/>
        <v>19</v>
      </c>
      <c r="B71" s="25">
        <f t="shared" si="13"/>
        <v>5275.9034119109274</v>
      </c>
      <c r="C71" s="37">
        <f t="shared" si="14"/>
        <v>34724.096588089189</v>
      </c>
      <c r="D71" s="27">
        <f t="shared" si="9"/>
        <v>40000.000000000116</v>
      </c>
      <c r="E71" s="38">
        <f t="shared" si="15"/>
        <v>3782807.3607432735</v>
      </c>
      <c r="F71" s="39">
        <f t="shared" si="10"/>
        <v>667545.80040721176</v>
      </c>
      <c r="G71" s="39">
        <f t="shared" si="11"/>
        <v>92454.199592790537</v>
      </c>
      <c r="K71" s="8">
        <v>2</v>
      </c>
    </row>
    <row r="72" spans="1:11">
      <c r="A72" s="24">
        <f t="shared" si="12"/>
        <v>20</v>
      </c>
      <c r="B72" s="25">
        <f t="shared" si="13"/>
        <v>5324.2658598534399</v>
      </c>
      <c r="C72" s="37">
        <f t="shared" si="14"/>
        <v>34675.734140146677</v>
      </c>
      <c r="D72" s="27">
        <f t="shared" si="9"/>
        <v>40000.000000000116</v>
      </c>
      <c r="E72" s="38">
        <f t="shared" si="15"/>
        <v>3777483.09488342</v>
      </c>
      <c r="F72" s="39">
        <f t="shared" si="10"/>
        <v>702221.5345473584</v>
      </c>
      <c r="G72" s="39">
        <f t="shared" si="11"/>
        <v>97778.465452643984</v>
      </c>
      <c r="K72" s="8">
        <v>2</v>
      </c>
    </row>
    <row r="73" spans="1:11">
      <c r="A73" s="24">
        <f t="shared" si="12"/>
        <v>21</v>
      </c>
      <c r="B73" s="25">
        <f t="shared" si="13"/>
        <v>5373.071630235434</v>
      </c>
      <c r="C73" s="37">
        <f t="shared" si="14"/>
        <v>34626.928369764682</v>
      </c>
      <c r="D73" s="27">
        <f t="shared" si="9"/>
        <v>40000.000000000116</v>
      </c>
      <c r="E73" s="38">
        <f t="shared" si="15"/>
        <v>3772110.0232531847</v>
      </c>
      <c r="F73" s="39">
        <f t="shared" si="10"/>
        <v>736848.46291712311</v>
      </c>
      <c r="G73" s="39">
        <f t="shared" si="11"/>
        <v>103151.53708287943</v>
      </c>
      <c r="K73" s="8">
        <v>2</v>
      </c>
    </row>
    <row r="74" spans="1:11">
      <c r="A74" s="24">
        <f t="shared" si="12"/>
        <v>22</v>
      </c>
      <c r="B74" s="25">
        <f t="shared" si="13"/>
        <v>5422.3247868459221</v>
      </c>
      <c r="C74" s="37">
        <f t="shared" si="14"/>
        <v>34577.675213154194</v>
      </c>
      <c r="D74" s="27">
        <f t="shared" si="9"/>
        <v>40000.000000000116</v>
      </c>
      <c r="E74" s="38">
        <f t="shared" si="15"/>
        <v>3766687.6984663387</v>
      </c>
      <c r="F74" s="39">
        <f t="shared" si="10"/>
        <v>771426.13813027728</v>
      </c>
      <c r="G74" s="39">
        <f t="shared" si="11"/>
        <v>108573.86186972534</v>
      </c>
      <c r="K74" s="8">
        <v>2</v>
      </c>
    </row>
    <row r="75" spans="1:11">
      <c r="A75" s="24">
        <f t="shared" si="12"/>
        <v>23</v>
      </c>
      <c r="B75" s="25">
        <f t="shared" si="13"/>
        <v>5472.0294307253425</v>
      </c>
      <c r="C75" s="37">
        <f t="shared" si="14"/>
        <v>34527.970569274774</v>
      </c>
      <c r="D75" s="27">
        <f t="shared" si="9"/>
        <v>40000.000000000116</v>
      </c>
      <c r="E75" s="38">
        <f t="shared" si="15"/>
        <v>3761215.6690356135</v>
      </c>
      <c r="F75" s="39">
        <f t="shared" si="10"/>
        <v>805954.10869955202</v>
      </c>
      <c r="G75" s="39">
        <f t="shared" si="11"/>
        <v>114045.89130045069</v>
      </c>
      <c r="K75" s="8">
        <v>2</v>
      </c>
    </row>
    <row r="76" spans="1:11">
      <c r="A76" s="24">
        <f t="shared" si="12"/>
        <v>24</v>
      </c>
      <c r="B76" s="25">
        <f t="shared" si="13"/>
        <v>5522.1897005069914</v>
      </c>
      <c r="C76" s="37">
        <f t="shared" si="14"/>
        <v>34477.810299493125</v>
      </c>
      <c r="D76" s="27">
        <f t="shared" si="9"/>
        <v>40000.000000000116</v>
      </c>
      <c r="E76" s="38">
        <f t="shared" si="15"/>
        <v>3755693.4793351064</v>
      </c>
      <c r="F76" s="39">
        <f t="shared" si="10"/>
        <v>840431.91899904516</v>
      </c>
      <c r="G76" s="39">
        <f t="shared" si="11"/>
        <v>119568.08100095768</v>
      </c>
      <c r="K76" s="8">
        <v>2</v>
      </c>
    </row>
    <row r="77" spans="1:11">
      <c r="A77" s="24">
        <f t="shared" si="12"/>
        <v>25</v>
      </c>
      <c r="B77" s="25">
        <f t="shared" si="13"/>
        <v>5572.8097727616405</v>
      </c>
      <c r="C77" s="37">
        <f t="shared" si="14"/>
        <v>34427.190227238476</v>
      </c>
      <c r="D77" s="27">
        <f t="shared" si="9"/>
        <v>40000.000000000116</v>
      </c>
      <c r="E77" s="38">
        <f t="shared" si="15"/>
        <v>3750120.6695623449</v>
      </c>
      <c r="F77" s="39">
        <f t="shared" si="10"/>
        <v>874859.10922628362</v>
      </c>
      <c r="G77" s="39">
        <f t="shared" si="11"/>
        <v>125140.89077371932</v>
      </c>
      <c r="K77" s="8">
        <v>3</v>
      </c>
    </row>
    <row r="78" spans="1:11">
      <c r="A78" s="24">
        <f t="shared" si="12"/>
        <v>26</v>
      </c>
      <c r="B78" s="25">
        <f t="shared" si="13"/>
        <v>5623.8938623452923</v>
      </c>
      <c r="C78" s="37">
        <f t="shared" si="14"/>
        <v>34376.106137654824</v>
      </c>
      <c r="D78" s="27">
        <f t="shared" si="9"/>
        <v>40000.000000000116</v>
      </c>
      <c r="E78" s="38">
        <f t="shared" si="15"/>
        <v>3744496.7756999996</v>
      </c>
      <c r="F78" s="39">
        <f t="shared" si="10"/>
        <v>909235.21536393848</v>
      </c>
      <c r="G78" s="39">
        <f t="shared" si="11"/>
        <v>130764.78463606461</v>
      </c>
      <c r="K78" s="8">
        <v>3</v>
      </c>
    </row>
    <row r="79" spans="1:11">
      <c r="A79" s="24">
        <f t="shared" si="12"/>
        <v>27</v>
      </c>
      <c r="B79" s="25">
        <f t="shared" si="13"/>
        <v>5675.4462227501208</v>
      </c>
      <c r="C79" s="37">
        <f t="shared" si="14"/>
        <v>34324.553777249996</v>
      </c>
      <c r="D79" s="27">
        <f t="shared" si="9"/>
        <v>40000.000000000116</v>
      </c>
      <c r="E79" s="38">
        <f t="shared" si="15"/>
        <v>3738821.3294772496</v>
      </c>
      <c r="F79" s="39">
        <f t="shared" si="10"/>
        <v>943559.76914118847</v>
      </c>
      <c r="G79" s="39">
        <f t="shared" si="11"/>
        <v>136440.23085881473</v>
      </c>
      <c r="K79" s="8">
        <v>3</v>
      </c>
    </row>
    <row r="80" spans="1:11">
      <c r="A80" s="24">
        <f t="shared" si="12"/>
        <v>28</v>
      </c>
      <c r="B80" s="25">
        <f t="shared" si="13"/>
        <v>5727.4711464586653</v>
      </c>
      <c r="C80" s="37">
        <f t="shared" si="14"/>
        <v>34272.528853541451</v>
      </c>
      <c r="D80" s="27">
        <f t="shared" si="9"/>
        <v>40000.000000000116</v>
      </c>
      <c r="E80" s="38">
        <f t="shared" si="15"/>
        <v>3733093.8583307909</v>
      </c>
      <c r="F80" s="39">
        <f t="shared" si="10"/>
        <v>977832.29799472995</v>
      </c>
      <c r="G80" s="39">
        <f t="shared" si="11"/>
        <v>142167.7020052734</v>
      </c>
      <c r="K80" s="8">
        <v>3</v>
      </c>
    </row>
    <row r="81" spans="1:11">
      <c r="A81" s="24">
        <f t="shared" si="12"/>
        <v>29</v>
      </c>
      <c r="B81" s="25">
        <f t="shared" si="13"/>
        <v>5779.9729653011964</v>
      </c>
      <c r="C81" s="37">
        <f t="shared" si="14"/>
        <v>34220.02703469892</v>
      </c>
      <c r="D81" s="27">
        <f t="shared" si="9"/>
        <v>40000.000000000116</v>
      </c>
      <c r="E81" s="38">
        <f t="shared" si="15"/>
        <v>3727313.8853654899</v>
      </c>
      <c r="F81" s="39">
        <f t="shared" si="10"/>
        <v>1012052.3250294288</v>
      </c>
      <c r="G81" s="39">
        <f t="shared" si="11"/>
        <v>147947.67497057459</v>
      </c>
      <c r="K81" s="8">
        <v>3</v>
      </c>
    </row>
    <row r="82" spans="1:11">
      <c r="A82" s="24">
        <f t="shared" si="12"/>
        <v>30</v>
      </c>
      <c r="B82" s="25">
        <f t="shared" si="13"/>
        <v>5832.9560508164577</v>
      </c>
      <c r="C82" s="37">
        <f t="shared" si="14"/>
        <v>34167.043949183659</v>
      </c>
      <c r="D82" s="27">
        <f t="shared" si="9"/>
        <v>40000.000000000116</v>
      </c>
      <c r="E82" s="38">
        <f t="shared" si="15"/>
        <v>3721480.9293146734</v>
      </c>
      <c r="F82" s="39">
        <f t="shared" si="10"/>
        <v>1046219.3689786125</v>
      </c>
      <c r="G82" s="39">
        <f t="shared" si="11"/>
        <v>153780.63102139105</v>
      </c>
      <c r="K82" s="8">
        <v>3</v>
      </c>
    </row>
    <row r="83" spans="1:11">
      <c r="A83" s="24">
        <f t="shared" si="12"/>
        <v>31</v>
      </c>
      <c r="B83" s="25">
        <f t="shared" si="13"/>
        <v>5886.4248146156096</v>
      </c>
      <c r="C83" s="37">
        <f t="shared" si="14"/>
        <v>34113.575185384507</v>
      </c>
      <c r="D83" s="27">
        <f t="shared" si="9"/>
        <v>40000.000000000116</v>
      </c>
      <c r="E83" s="38">
        <f t="shared" si="15"/>
        <v>3715594.504500058</v>
      </c>
      <c r="F83" s="39">
        <f t="shared" si="10"/>
        <v>1080332.944163997</v>
      </c>
      <c r="G83" s="39">
        <f t="shared" si="11"/>
        <v>159667.05583600665</v>
      </c>
      <c r="K83" s="8">
        <v>3</v>
      </c>
    </row>
    <row r="84" spans="1:11">
      <c r="A84" s="24">
        <f t="shared" si="12"/>
        <v>32</v>
      </c>
      <c r="B84" s="25">
        <f t="shared" si="13"/>
        <v>5940.3837087495849</v>
      </c>
      <c r="C84" s="37">
        <f t="shared" si="14"/>
        <v>34059.616291250532</v>
      </c>
      <c r="D84" s="27">
        <f t="shared" si="9"/>
        <v>40000.000000000116</v>
      </c>
      <c r="E84" s="38">
        <f t="shared" si="15"/>
        <v>3709654.1207913086</v>
      </c>
      <c r="F84" s="39">
        <f t="shared" si="10"/>
        <v>1114392.5604552475</v>
      </c>
      <c r="G84" s="39">
        <f t="shared" si="11"/>
        <v>165607.43954475623</v>
      </c>
      <c r="K84" s="8">
        <v>3</v>
      </c>
    </row>
    <row r="85" spans="1:11">
      <c r="A85" s="24">
        <f t="shared" si="12"/>
        <v>33</v>
      </c>
      <c r="B85" s="25">
        <f t="shared" si="13"/>
        <v>5994.8372260797842</v>
      </c>
      <c r="C85" s="37">
        <f t="shared" si="14"/>
        <v>34005.162773920332</v>
      </c>
      <c r="D85" s="27">
        <f t="shared" si="9"/>
        <v>40000.000000000116</v>
      </c>
      <c r="E85" s="38">
        <f t="shared" si="15"/>
        <v>3703659.2835652288</v>
      </c>
      <c r="F85" s="39">
        <f t="shared" si="10"/>
        <v>1148397.7232291678</v>
      </c>
      <c r="G85" s="39">
        <f t="shared" si="11"/>
        <v>171602.276770836</v>
      </c>
      <c r="K85" s="8">
        <v>3</v>
      </c>
    </row>
    <row r="86" spans="1:11">
      <c r="A86" s="24">
        <f t="shared" si="12"/>
        <v>34</v>
      </c>
      <c r="B86" s="25">
        <f t="shared" si="13"/>
        <v>6049.7899006521839</v>
      </c>
      <c r="C86" s="37">
        <f t="shared" si="14"/>
        <v>33950.210099347933</v>
      </c>
      <c r="D86" s="27">
        <f t="shared" si="9"/>
        <v>40000.000000000116</v>
      </c>
      <c r="E86" s="38">
        <f t="shared" si="15"/>
        <v>3697609.4936645767</v>
      </c>
      <c r="F86" s="39">
        <f t="shared" si="10"/>
        <v>1182347.9333285156</v>
      </c>
      <c r="G86" s="39">
        <f t="shared" si="11"/>
        <v>177652.0666714882</v>
      </c>
      <c r="K86" s="8">
        <v>3</v>
      </c>
    </row>
    <row r="87" spans="1:11">
      <c r="A87" s="24">
        <f t="shared" si="12"/>
        <v>35</v>
      </c>
      <c r="B87" s="25">
        <f t="shared" si="13"/>
        <v>6105.2463080748348</v>
      </c>
      <c r="C87" s="37">
        <f t="shared" si="14"/>
        <v>33894.753691925282</v>
      </c>
      <c r="D87" s="27">
        <f t="shared" si="9"/>
        <v>40000.000000000116</v>
      </c>
      <c r="E87" s="38">
        <f t="shared" si="15"/>
        <v>3691504.2473565019</v>
      </c>
      <c r="F87" s="39">
        <f t="shared" si="10"/>
        <v>1216242.6870204408</v>
      </c>
      <c r="G87" s="39">
        <f t="shared" si="11"/>
        <v>183757.31297956302</v>
      </c>
      <c r="K87" s="8">
        <v>3</v>
      </c>
    </row>
    <row r="88" spans="1:11">
      <c r="A88" s="24">
        <f t="shared" si="12"/>
        <v>36</v>
      </c>
      <c r="B88" s="25">
        <f t="shared" si="13"/>
        <v>6161.2110658988458</v>
      </c>
      <c r="C88" s="37">
        <f t="shared" si="14"/>
        <v>33838.788934101271</v>
      </c>
      <c r="D88" s="27">
        <f t="shared" si="9"/>
        <v>40000.000000000116</v>
      </c>
      <c r="E88" s="38">
        <f t="shared" si="15"/>
        <v>3685343.0362906032</v>
      </c>
      <c r="F88" s="39">
        <f t="shared" si="10"/>
        <v>1250081.4759545422</v>
      </c>
      <c r="G88" s="39">
        <f t="shared" si="11"/>
        <v>189918.52404546188</v>
      </c>
      <c r="K88" s="8">
        <v>3</v>
      </c>
    </row>
    <row r="89" spans="1:11">
      <c r="A89" s="24">
        <f t="shared" si="12"/>
        <v>37</v>
      </c>
      <c r="B89" s="25">
        <f t="shared" si="13"/>
        <v>6217.6888340029182</v>
      </c>
      <c r="C89" s="37">
        <f t="shared" si="14"/>
        <v>33782.311165997198</v>
      </c>
      <c r="D89" s="27">
        <f t="shared" si="9"/>
        <v>40000.000000000116</v>
      </c>
      <c r="E89" s="38">
        <f t="shared" si="15"/>
        <v>3679125.3474566005</v>
      </c>
      <c r="F89" s="39">
        <f t="shared" si="10"/>
        <v>1283863.7871205395</v>
      </c>
      <c r="G89" s="39">
        <f t="shared" si="11"/>
        <v>196136.21287946479</v>
      </c>
      <c r="K89" s="8">
        <v>4</v>
      </c>
    </row>
    <row r="90" spans="1:11">
      <c r="A90" s="24">
        <f t="shared" si="12"/>
        <v>38</v>
      </c>
      <c r="B90" s="25">
        <f t="shared" si="13"/>
        <v>6274.6843149812776</v>
      </c>
      <c r="C90" s="37">
        <f t="shared" si="14"/>
        <v>33725.315685018839</v>
      </c>
      <c r="D90" s="27">
        <f t="shared" si="9"/>
        <v>40000.000000000116</v>
      </c>
      <c r="E90" s="38">
        <f t="shared" si="15"/>
        <v>3672850.6631416194</v>
      </c>
      <c r="F90" s="39">
        <f t="shared" si="10"/>
        <v>1317589.1028055584</v>
      </c>
      <c r="G90" s="39">
        <f t="shared" si="11"/>
        <v>202410.89719444606</v>
      </c>
      <c r="K90" s="8">
        <v>4</v>
      </c>
    </row>
    <row r="91" spans="1:11">
      <c r="A91" s="24">
        <f t="shared" si="12"/>
        <v>39</v>
      </c>
      <c r="B91" s="25">
        <f t="shared" si="13"/>
        <v>6332.2022545352738</v>
      </c>
      <c r="C91" s="37">
        <f t="shared" si="14"/>
        <v>33667.797745464843</v>
      </c>
      <c r="D91" s="27">
        <f t="shared" si="9"/>
        <v>40000.000000000116</v>
      </c>
      <c r="E91" s="38">
        <f t="shared" si="15"/>
        <v>3666518.4608870842</v>
      </c>
      <c r="F91" s="39">
        <f t="shared" si="10"/>
        <v>1351256.9005510232</v>
      </c>
      <c r="G91" s="39">
        <f t="shared" si="11"/>
        <v>208743.09944898135</v>
      </c>
      <c r="K91" s="8">
        <v>4</v>
      </c>
    </row>
    <row r="92" spans="1:11">
      <c r="A92" s="24">
        <f t="shared" si="12"/>
        <v>40</v>
      </c>
      <c r="B92" s="25">
        <f t="shared" si="13"/>
        <v>6390.2474418685088</v>
      </c>
      <c r="C92" s="37">
        <f t="shared" si="14"/>
        <v>33609.752558131608</v>
      </c>
      <c r="D92" s="27">
        <f t="shared" si="9"/>
        <v>40000.000000000116</v>
      </c>
      <c r="E92" s="38">
        <f t="shared" si="15"/>
        <v>3660128.213445216</v>
      </c>
      <c r="F92" s="39">
        <f t="shared" si="10"/>
        <v>1384866.6531091549</v>
      </c>
      <c r="G92" s="39">
        <f t="shared" si="11"/>
        <v>215133.34689084985</v>
      </c>
      <c r="K92" s="8">
        <v>4</v>
      </c>
    </row>
    <row r="93" spans="1:11">
      <c r="A93" s="24">
        <f t="shared" si="12"/>
        <v>41</v>
      </c>
      <c r="B93" s="25">
        <f t="shared" si="13"/>
        <v>6448.8247100856388</v>
      </c>
      <c r="C93" s="37">
        <f t="shared" si="14"/>
        <v>33551.175289914478</v>
      </c>
      <c r="D93" s="27">
        <f t="shared" si="9"/>
        <v>40000.000000000116</v>
      </c>
      <c r="E93" s="38">
        <f t="shared" si="15"/>
        <v>3653679.3887351304</v>
      </c>
      <c r="F93" s="39">
        <f t="shared" si="10"/>
        <v>1418417.8283990694</v>
      </c>
      <c r="G93" s="39">
        <f t="shared" si="11"/>
        <v>221582.17160093549</v>
      </c>
      <c r="K93" s="8">
        <v>4</v>
      </c>
    </row>
    <row r="94" spans="1:11">
      <c r="A94" s="24">
        <f t="shared" si="12"/>
        <v>42</v>
      </c>
      <c r="B94" s="25">
        <f t="shared" si="13"/>
        <v>6507.93893659475</v>
      </c>
      <c r="C94" s="37">
        <f t="shared" si="14"/>
        <v>33492.061063405366</v>
      </c>
      <c r="D94" s="27">
        <f t="shared" si="9"/>
        <v>40000.000000000116</v>
      </c>
      <c r="E94" s="38">
        <f t="shared" si="15"/>
        <v>3647171.4497985356</v>
      </c>
      <c r="F94" s="39">
        <f t="shared" si="10"/>
        <v>1451909.8894624747</v>
      </c>
      <c r="G94" s="39">
        <f t="shared" si="11"/>
        <v>228090.11053753024</v>
      </c>
      <c r="K94" s="8">
        <v>4</v>
      </c>
    </row>
    <row r="95" spans="1:11">
      <c r="A95" s="24">
        <f t="shared" si="12"/>
        <v>43</v>
      </c>
      <c r="B95" s="25">
        <f t="shared" si="13"/>
        <v>6567.5950435135383</v>
      </c>
      <c r="C95" s="37">
        <f t="shared" si="14"/>
        <v>33432.404956486578</v>
      </c>
      <c r="D95" s="27">
        <f t="shared" si="9"/>
        <v>40000.000000000116</v>
      </c>
      <c r="E95" s="38">
        <f t="shared" si="15"/>
        <v>3640603.8547550221</v>
      </c>
      <c r="F95" s="39">
        <f t="shared" si="10"/>
        <v>1485342.2944189613</v>
      </c>
      <c r="G95" s="39">
        <f t="shared" si="11"/>
        <v>234657.70558104379</v>
      </c>
      <c r="K95" s="8">
        <v>4</v>
      </c>
    </row>
    <row r="96" spans="1:11">
      <c r="A96" s="24">
        <f t="shared" si="12"/>
        <v>44</v>
      </c>
      <c r="B96" s="25">
        <f t="shared" si="13"/>
        <v>6627.7979980790769</v>
      </c>
      <c r="C96" s="37">
        <f t="shared" si="14"/>
        <v>33372.202001921039</v>
      </c>
      <c r="D96" s="27">
        <f t="shared" si="9"/>
        <v>40000.000000000116</v>
      </c>
      <c r="E96" s="38">
        <f t="shared" si="15"/>
        <v>3633976.056756943</v>
      </c>
      <c r="F96" s="39">
        <f t="shared" si="10"/>
        <v>1518714.4964208824</v>
      </c>
      <c r="G96" s="39">
        <f t="shared" si="11"/>
        <v>241285.50357912286</v>
      </c>
      <c r="K96" s="8">
        <v>4</v>
      </c>
    </row>
    <row r="97" spans="1:11">
      <c r="A97" s="24">
        <f t="shared" si="12"/>
        <v>45</v>
      </c>
      <c r="B97" s="25">
        <f t="shared" si="13"/>
        <v>6688.5528130614766</v>
      </c>
      <c r="C97" s="37">
        <f t="shared" si="14"/>
        <v>33311.44718693864</v>
      </c>
      <c r="D97" s="27">
        <f t="shared" si="9"/>
        <v>40000.000000000116</v>
      </c>
      <c r="E97" s="38">
        <f t="shared" si="15"/>
        <v>3627287.5039438815</v>
      </c>
      <c r="F97" s="39">
        <f t="shared" si="10"/>
        <v>1552025.9436078211</v>
      </c>
      <c r="G97" s="39">
        <f t="shared" si="11"/>
        <v>247974.05639218434</v>
      </c>
      <c r="K97" s="8">
        <v>4</v>
      </c>
    </row>
    <row r="98" spans="1:11">
      <c r="A98" s="24">
        <f t="shared" si="12"/>
        <v>46</v>
      </c>
      <c r="B98" s="25">
        <f t="shared" si="13"/>
        <v>6749.8645471811978</v>
      </c>
      <c r="C98" s="37">
        <f t="shared" si="14"/>
        <v>33250.135452818919</v>
      </c>
      <c r="D98" s="27">
        <f t="shared" si="9"/>
        <v>40000.000000000116</v>
      </c>
      <c r="E98" s="38">
        <f t="shared" si="15"/>
        <v>3620537.6393967001</v>
      </c>
      <c r="F98" s="39">
        <f t="shared" si="10"/>
        <v>1585276.07906064</v>
      </c>
      <c r="G98" s="39">
        <f t="shared" si="11"/>
        <v>254723.92093936555</v>
      </c>
      <c r="K98" s="8">
        <v>4</v>
      </c>
    </row>
    <row r="99" spans="1:11">
      <c r="A99" s="24">
        <f t="shared" si="12"/>
        <v>47</v>
      </c>
      <c r="B99" s="25">
        <f t="shared" si="13"/>
        <v>6811.7383055303653</v>
      </c>
      <c r="C99" s="37">
        <f t="shared" si="14"/>
        <v>33188.261694469751</v>
      </c>
      <c r="D99" s="27">
        <f t="shared" si="9"/>
        <v>40000.000000000116</v>
      </c>
      <c r="E99" s="38">
        <f t="shared" si="15"/>
        <v>3613725.9010911696</v>
      </c>
      <c r="F99" s="39">
        <f t="shared" si="10"/>
        <v>1618464.3407551097</v>
      </c>
      <c r="G99" s="39">
        <f t="shared" si="11"/>
        <v>261535.65924489591</v>
      </c>
      <c r="K99" s="8">
        <v>4</v>
      </c>
    </row>
    <row r="100" spans="1:11">
      <c r="A100" s="24">
        <f t="shared" si="12"/>
        <v>48</v>
      </c>
      <c r="B100" s="25">
        <f t="shared" si="13"/>
        <v>6874.1792399977276</v>
      </c>
      <c r="C100" s="37">
        <f t="shared" si="14"/>
        <v>33125.820760002389</v>
      </c>
      <c r="D100" s="27">
        <f t="shared" si="9"/>
        <v>40000.000000000116</v>
      </c>
      <c r="E100" s="38">
        <f t="shared" si="15"/>
        <v>3606851.7218511719</v>
      </c>
      <c r="F100" s="39">
        <f t="shared" si="10"/>
        <v>1651590.161515112</v>
      </c>
      <c r="G100" s="39">
        <f t="shared" si="11"/>
        <v>268409.83848489367</v>
      </c>
      <c r="K100" s="8">
        <v>4</v>
      </c>
    </row>
    <row r="101" spans="1:11">
      <c r="A101" s="24">
        <f t="shared" si="12"/>
        <v>49</v>
      </c>
      <c r="B101" s="25">
        <f t="shared" si="13"/>
        <v>6937.1925496977055</v>
      </c>
      <c r="C101" s="37">
        <f t="shared" si="14"/>
        <v>33062.807450302411</v>
      </c>
      <c r="D101" s="27">
        <f t="shared" si="9"/>
        <v>40000.000000000116</v>
      </c>
      <c r="E101" s="38">
        <f t="shared" si="15"/>
        <v>3599914.5293014743</v>
      </c>
      <c r="F101" s="39">
        <f t="shared" si="10"/>
        <v>1684652.9689654144</v>
      </c>
      <c r="G101" s="39">
        <f t="shared" si="11"/>
        <v>275347.03103459137</v>
      </c>
      <c r="K101" s="8">
        <v>5</v>
      </c>
    </row>
    <row r="102" spans="1:11">
      <c r="A102" s="24">
        <f t="shared" si="12"/>
        <v>50</v>
      </c>
      <c r="B102" s="25">
        <f t="shared" si="13"/>
        <v>7000.7834814032685</v>
      </c>
      <c r="C102" s="37">
        <f t="shared" si="14"/>
        <v>32999.216518596848</v>
      </c>
      <c r="D102" s="27">
        <f t="shared" si="9"/>
        <v>40000.000000000116</v>
      </c>
      <c r="E102" s="38">
        <f t="shared" si="15"/>
        <v>3592913.7458200711</v>
      </c>
      <c r="F102" s="39">
        <f t="shared" si="10"/>
        <v>1717652.1854840112</v>
      </c>
      <c r="G102" s="39">
        <f t="shared" si="11"/>
        <v>282347.81451599463</v>
      </c>
      <c r="K102" s="8">
        <v>5</v>
      </c>
    </row>
    <row r="103" spans="1:11">
      <c r="A103" s="24">
        <f t="shared" si="12"/>
        <v>51</v>
      </c>
      <c r="B103" s="25">
        <f t="shared" si="13"/>
        <v>7064.9573299827971</v>
      </c>
      <c r="C103" s="37">
        <f t="shared" si="14"/>
        <v>32935.042670017319</v>
      </c>
      <c r="D103" s="27">
        <f t="shared" si="9"/>
        <v>40000.000000000116</v>
      </c>
      <c r="E103" s="38">
        <f t="shared" si="15"/>
        <v>3585848.7884900882</v>
      </c>
      <c r="F103" s="39">
        <f t="shared" si="10"/>
        <v>1750587.2281540285</v>
      </c>
      <c r="G103" s="39">
        <f t="shared" si="11"/>
        <v>289412.7718459774</v>
      </c>
      <c r="K103" s="8">
        <v>5</v>
      </c>
    </row>
    <row r="104" spans="1:11">
      <c r="A104" s="24">
        <f t="shared" si="12"/>
        <v>52</v>
      </c>
      <c r="B104" s="25">
        <f t="shared" si="13"/>
        <v>7129.7194388409771</v>
      </c>
      <c r="C104" s="37">
        <f t="shared" si="14"/>
        <v>32870.280561159139</v>
      </c>
      <c r="D104" s="27">
        <f t="shared" si="9"/>
        <v>40000.000000000116</v>
      </c>
      <c r="E104" s="38">
        <f t="shared" si="15"/>
        <v>3578719.0690512471</v>
      </c>
      <c r="F104" s="39">
        <f t="shared" si="10"/>
        <v>1783457.5087151877</v>
      </c>
      <c r="G104" s="39">
        <f t="shared" si="11"/>
        <v>296542.49128481839</v>
      </c>
      <c r="K104" s="8">
        <v>5</v>
      </c>
    </row>
    <row r="105" spans="1:11">
      <c r="A105" s="24">
        <f t="shared" si="12"/>
        <v>53</v>
      </c>
      <c r="B105" s="25">
        <f t="shared" si="13"/>
        <v>7195.0752003636808</v>
      </c>
      <c r="C105" s="37">
        <f t="shared" si="14"/>
        <v>32804.924799636436</v>
      </c>
      <c r="D105" s="27">
        <f t="shared" si="9"/>
        <v>40000.000000000116</v>
      </c>
      <c r="E105" s="38">
        <f t="shared" si="15"/>
        <v>3571523.9938508836</v>
      </c>
      <c r="F105" s="39">
        <f t="shared" si="10"/>
        <v>1816262.4335148241</v>
      </c>
      <c r="G105" s="39">
        <f t="shared" si="11"/>
        <v>303737.56648518209</v>
      </c>
      <c r="K105" s="8">
        <v>5</v>
      </c>
    </row>
    <row r="106" spans="1:11">
      <c r="A106" s="24">
        <f t="shared" si="12"/>
        <v>54</v>
      </c>
      <c r="B106" s="25">
        <f t="shared" si="13"/>
        <v>7261.0300563670171</v>
      </c>
      <c r="C106" s="37">
        <f t="shared" si="14"/>
        <v>32738.969943633099</v>
      </c>
      <c r="D106" s="27">
        <f t="shared" si="9"/>
        <v>40000.000000000116</v>
      </c>
      <c r="E106" s="38">
        <f t="shared" si="15"/>
        <v>3564262.9637945164</v>
      </c>
      <c r="F106" s="39">
        <f t="shared" si="10"/>
        <v>1849001.4034584572</v>
      </c>
      <c r="G106" s="39">
        <f t="shared" si="11"/>
        <v>310998.59654154908</v>
      </c>
      <c r="K106" s="8">
        <v>5</v>
      </c>
    </row>
    <row r="107" spans="1:11">
      <c r="A107" s="24">
        <f t="shared" si="12"/>
        <v>55</v>
      </c>
      <c r="B107" s="25">
        <f t="shared" si="13"/>
        <v>7327.5894985503837</v>
      </c>
      <c r="C107" s="37">
        <f t="shared" si="14"/>
        <v>32672.410501449733</v>
      </c>
      <c r="D107" s="27">
        <f t="shared" si="9"/>
        <v>40000.000000000116</v>
      </c>
      <c r="E107" s="38">
        <f t="shared" si="15"/>
        <v>3556935.3742959662</v>
      </c>
      <c r="F107" s="39">
        <f t="shared" si="10"/>
        <v>1881673.813959907</v>
      </c>
      <c r="G107" s="39">
        <f t="shared" si="11"/>
        <v>318326.18604009948</v>
      </c>
      <c r="K107" s="8">
        <v>5</v>
      </c>
    </row>
    <row r="108" spans="1:11">
      <c r="A108" s="24">
        <f t="shared" si="12"/>
        <v>56</v>
      </c>
      <c r="B108" s="25">
        <f t="shared" si="13"/>
        <v>7394.759068953761</v>
      </c>
      <c r="C108" s="37">
        <f t="shared" si="14"/>
        <v>32605.240931046355</v>
      </c>
      <c r="D108" s="27">
        <f t="shared" si="9"/>
        <v>40000.000000000116</v>
      </c>
      <c r="E108" s="38">
        <f t="shared" si="15"/>
        <v>3549540.6152270124</v>
      </c>
      <c r="F108" s="39">
        <f t="shared" si="10"/>
        <v>1914279.0548909535</v>
      </c>
      <c r="G108" s="39">
        <f t="shared" si="11"/>
        <v>325720.94510905322</v>
      </c>
      <c r="K108" s="8">
        <v>5</v>
      </c>
    </row>
    <row r="109" spans="1:11">
      <c r="A109" s="24">
        <f t="shared" si="12"/>
        <v>57</v>
      </c>
      <c r="B109" s="25">
        <f t="shared" si="13"/>
        <v>7462.5443604191678</v>
      </c>
      <c r="C109" s="37">
        <f t="shared" si="14"/>
        <v>32537.455639580949</v>
      </c>
      <c r="D109" s="27">
        <f t="shared" si="9"/>
        <v>40000.000000000116</v>
      </c>
      <c r="E109" s="38">
        <f t="shared" si="15"/>
        <v>3542078.0708665932</v>
      </c>
      <c r="F109" s="39">
        <f t="shared" si="10"/>
        <v>1946816.5105305344</v>
      </c>
      <c r="G109" s="39">
        <f t="shared" si="11"/>
        <v>333183.48946947238</v>
      </c>
      <c r="K109" s="8">
        <v>5</v>
      </c>
    </row>
    <row r="110" spans="1:11">
      <c r="A110" s="24">
        <f t="shared" si="12"/>
        <v>58</v>
      </c>
      <c r="B110" s="25">
        <f t="shared" si="13"/>
        <v>7530.9510170563444</v>
      </c>
      <c r="C110" s="37">
        <f t="shared" si="14"/>
        <v>32469.048982943772</v>
      </c>
      <c r="D110" s="27">
        <f t="shared" si="9"/>
        <v>40000.000000000116</v>
      </c>
      <c r="E110" s="38">
        <f t="shared" si="15"/>
        <v>3534547.119849537</v>
      </c>
      <c r="F110" s="39">
        <f t="shared" si="10"/>
        <v>1979285.5595134783</v>
      </c>
      <c r="G110" s="39">
        <f t="shared" si="11"/>
        <v>340714.44048652874</v>
      </c>
      <c r="K110" s="8">
        <v>5</v>
      </c>
    </row>
    <row r="111" spans="1:11">
      <c r="A111" s="24">
        <f t="shared" si="12"/>
        <v>59</v>
      </c>
      <c r="B111" s="25">
        <f t="shared" si="13"/>
        <v>7599.9847347126924</v>
      </c>
      <c r="C111" s="37">
        <f t="shared" si="14"/>
        <v>32400.015265287424</v>
      </c>
      <c r="D111" s="27">
        <f t="shared" si="9"/>
        <v>40000.000000000116</v>
      </c>
      <c r="E111" s="38">
        <f t="shared" si="15"/>
        <v>3526947.1351148244</v>
      </c>
      <c r="F111" s="39">
        <f t="shared" si="10"/>
        <v>2011685.5747787657</v>
      </c>
      <c r="G111" s="39">
        <f t="shared" si="11"/>
        <v>348314.42522124143</v>
      </c>
      <c r="K111" s="8">
        <v>5</v>
      </c>
    </row>
    <row r="112" spans="1:11">
      <c r="A112" s="24">
        <f t="shared" si="12"/>
        <v>60</v>
      </c>
      <c r="B112" s="25">
        <f t="shared" si="13"/>
        <v>7669.6512614475614</v>
      </c>
      <c r="C112" s="37">
        <f t="shared" si="14"/>
        <v>32330.348738552555</v>
      </c>
      <c r="D112" s="27">
        <f t="shared" si="9"/>
        <v>40000.000000000116</v>
      </c>
      <c r="E112" s="38">
        <f t="shared" si="15"/>
        <v>3519277.4838533769</v>
      </c>
      <c r="F112" s="39">
        <f t="shared" si="10"/>
        <v>2044015.9235173182</v>
      </c>
      <c r="G112" s="39">
        <f t="shared" si="11"/>
        <v>355984.07648268901</v>
      </c>
      <c r="K112" s="8">
        <v>5</v>
      </c>
    </row>
    <row r="113" spans="1:11">
      <c r="A113" s="24">
        <f t="shared" si="12"/>
        <v>61</v>
      </c>
      <c r="B113" s="25">
        <f t="shared" si="13"/>
        <v>7739.9563980108251</v>
      </c>
      <c r="C113" s="37">
        <f t="shared" si="14"/>
        <v>32260.043601989291</v>
      </c>
      <c r="D113" s="27">
        <f t="shared" si="9"/>
        <v>40000.000000000116</v>
      </c>
      <c r="E113" s="38">
        <f t="shared" si="15"/>
        <v>3511537.5274553662</v>
      </c>
      <c r="F113" s="39">
        <f t="shared" si="10"/>
        <v>2076275.9671193075</v>
      </c>
      <c r="G113" s="39">
        <f t="shared" si="11"/>
        <v>363724.03288069984</v>
      </c>
      <c r="K113" s="8">
        <v>6</v>
      </c>
    </row>
    <row r="114" spans="1:11">
      <c r="A114" s="24">
        <f t="shared" si="12"/>
        <v>62</v>
      </c>
      <c r="B114" s="25">
        <f t="shared" si="13"/>
        <v>7810.9059983259249</v>
      </c>
      <c r="C114" s="37">
        <f t="shared" si="14"/>
        <v>32189.094001674192</v>
      </c>
      <c r="D114" s="27">
        <f t="shared" si="9"/>
        <v>40000.000000000116</v>
      </c>
      <c r="E114" s="38">
        <f t="shared" si="15"/>
        <v>3503726.6214570403</v>
      </c>
      <c r="F114" s="39">
        <f t="shared" si="10"/>
        <v>2108465.0611209818</v>
      </c>
      <c r="G114" s="39">
        <f t="shared" si="11"/>
        <v>371534.93887902575</v>
      </c>
      <c r="K114" s="8">
        <v>6</v>
      </c>
    </row>
    <row r="115" spans="1:11">
      <c r="A115" s="24">
        <f t="shared" si="12"/>
        <v>63</v>
      </c>
      <c r="B115" s="25">
        <f t="shared" si="13"/>
        <v>7882.5059699772501</v>
      </c>
      <c r="C115" s="37">
        <f t="shared" si="14"/>
        <v>32117.494030022866</v>
      </c>
      <c r="D115" s="27">
        <f t="shared" si="9"/>
        <v>40000.000000000116</v>
      </c>
      <c r="E115" s="38">
        <f t="shared" si="15"/>
        <v>3495844.1154870628</v>
      </c>
      <c r="F115" s="39">
        <f t="shared" si="10"/>
        <v>2140582.5551510048</v>
      </c>
      <c r="G115" s="39">
        <f t="shared" si="11"/>
        <v>379417.44484900299</v>
      </c>
      <c r="K115" s="8">
        <v>6</v>
      </c>
    </row>
    <row r="116" spans="1:11">
      <c r="A116" s="24">
        <f t="shared" si="12"/>
        <v>64</v>
      </c>
      <c r="B116" s="25">
        <f t="shared" si="13"/>
        <v>7954.7622747020396</v>
      </c>
      <c r="C116" s="37">
        <f t="shared" si="14"/>
        <v>32045.237725298077</v>
      </c>
      <c r="D116" s="27">
        <f t="shared" si="9"/>
        <v>40000.000000000116</v>
      </c>
      <c r="E116" s="38">
        <f t="shared" si="15"/>
        <v>3487889.3532123608</v>
      </c>
      <c r="F116" s="39">
        <f t="shared" si="10"/>
        <v>2172627.7928763027</v>
      </c>
      <c r="G116" s="39">
        <f t="shared" si="11"/>
        <v>387372.20712370501</v>
      </c>
      <c r="K116" s="8">
        <v>6</v>
      </c>
    </row>
    <row r="117" spans="1:11">
      <c r="A117" s="24">
        <f t="shared" si="12"/>
        <v>65</v>
      </c>
      <c r="B117" s="25">
        <f t="shared" si="13"/>
        <v>8027.6809288868099</v>
      </c>
      <c r="C117" s="37">
        <f t="shared" si="14"/>
        <v>31972.319071113307</v>
      </c>
      <c r="D117" s="27">
        <f t="shared" ref="D117:D180" si="16">IF(A117&lt;=$C$6*12, $C$10, 0)</f>
        <v>40000.000000000116</v>
      </c>
      <c r="E117" s="38">
        <f t="shared" si="15"/>
        <v>3479861.6722834739</v>
      </c>
      <c r="F117" s="39">
        <f t="shared" si="10"/>
        <v>2204600.1119474159</v>
      </c>
      <c r="G117" s="39">
        <f t="shared" si="11"/>
        <v>395399.88805259182</v>
      </c>
      <c r="K117" s="8">
        <v>6</v>
      </c>
    </row>
    <row r="118" spans="1:11">
      <c r="A118" s="24">
        <f t="shared" si="12"/>
        <v>66</v>
      </c>
      <c r="B118" s="25">
        <f t="shared" si="13"/>
        <v>8101.2680040682717</v>
      </c>
      <c r="C118" s="37">
        <f t="shared" si="14"/>
        <v>31898.731995931845</v>
      </c>
      <c r="D118" s="27">
        <f t="shared" si="16"/>
        <v>40000.000000000116</v>
      </c>
      <c r="E118" s="38">
        <f t="shared" si="15"/>
        <v>3471760.4042794057</v>
      </c>
      <c r="F118" s="39">
        <f t="shared" ref="F118:F181" si="17">IF(A118&lt;=$C$6*12, F117+C118, 0)</f>
        <v>2236498.8439433477</v>
      </c>
      <c r="G118" s="39">
        <f t="shared" ref="G118:G181" si="18">IF(A118&lt;=$C$6*12, G117+B118, 0)</f>
        <v>403501.15605666011</v>
      </c>
      <c r="K118" s="8">
        <v>6</v>
      </c>
    </row>
    <row r="119" spans="1:11">
      <c r="A119" s="24">
        <f t="shared" ref="A119:A182" si="19">A118+1</f>
        <v>67</v>
      </c>
      <c r="B119" s="25">
        <f t="shared" ref="B119:B182" si="20">IF(A118&lt;=$C$6*12,D119-C119,0)</f>
        <v>8175.5296274388966</v>
      </c>
      <c r="C119" s="37">
        <f t="shared" ref="C119:C182" si="21">IF(A119&lt;=$C$6*12, E118*$C$5/12, 0)</f>
        <v>31824.47037256122</v>
      </c>
      <c r="D119" s="27">
        <f t="shared" si="16"/>
        <v>40000.000000000116</v>
      </c>
      <c r="E119" s="38">
        <f t="shared" ref="E119:E182" si="22">IF(A119&lt;=$C$6*12, E118-B119, 0)</f>
        <v>3463584.8746519666</v>
      </c>
      <c r="F119" s="39">
        <f t="shared" si="17"/>
        <v>2268323.3143159091</v>
      </c>
      <c r="G119" s="39">
        <f t="shared" si="18"/>
        <v>411676.68568409898</v>
      </c>
      <c r="K119" s="8">
        <v>6</v>
      </c>
    </row>
    <row r="120" spans="1:11">
      <c r="A120" s="24">
        <f t="shared" si="19"/>
        <v>68</v>
      </c>
      <c r="B120" s="25">
        <f t="shared" si="20"/>
        <v>8250.4719823570886</v>
      </c>
      <c r="C120" s="37">
        <f t="shared" si="21"/>
        <v>31749.528017643028</v>
      </c>
      <c r="D120" s="27">
        <f t="shared" si="16"/>
        <v>40000.000000000116</v>
      </c>
      <c r="E120" s="38">
        <f t="shared" si="22"/>
        <v>3455334.4026696095</v>
      </c>
      <c r="F120" s="39">
        <f t="shared" si="17"/>
        <v>2300072.842333552</v>
      </c>
      <c r="G120" s="39">
        <f t="shared" si="18"/>
        <v>419927.15766645607</v>
      </c>
      <c r="K120" s="8">
        <v>6</v>
      </c>
    </row>
    <row r="121" spans="1:11">
      <c r="A121" s="24">
        <f t="shared" si="19"/>
        <v>69</v>
      </c>
      <c r="B121" s="25">
        <f t="shared" si="20"/>
        <v>8326.1013088620275</v>
      </c>
      <c r="C121" s="37">
        <f t="shared" si="21"/>
        <v>31673.898691138089</v>
      </c>
      <c r="D121" s="27">
        <f t="shared" si="16"/>
        <v>40000.000000000116</v>
      </c>
      <c r="E121" s="38">
        <f t="shared" si="22"/>
        <v>3447008.3013607473</v>
      </c>
      <c r="F121" s="39">
        <f t="shared" si="17"/>
        <v>2331746.7410246902</v>
      </c>
      <c r="G121" s="39">
        <f t="shared" si="18"/>
        <v>428253.25897531811</v>
      </c>
      <c r="K121" s="8">
        <v>6</v>
      </c>
    </row>
    <row r="122" spans="1:11">
      <c r="A122" s="24">
        <f t="shared" si="19"/>
        <v>70</v>
      </c>
      <c r="B122" s="25">
        <f t="shared" si="20"/>
        <v>8402.4239041932633</v>
      </c>
      <c r="C122" s="37">
        <f t="shared" si="21"/>
        <v>31597.576095806853</v>
      </c>
      <c r="D122" s="27">
        <f t="shared" si="16"/>
        <v>40000.000000000116</v>
      </c>
      <c r="E122" s="38">
        <f t="shared" si="22"/>
        <v>3438605.8774565542</v>
      </c>
      <c r="F122" s="39">
        <f t="shared" si="17"/>
        <v>2363344.3171204971</v>
      </c>
      <c r="G122" s="39">
        <f t="shared" si="18"/>
        <v>436655.68287951138</v>
      </c>
      <c r="K122" s="8">
        <v>6</v>
      </c>
    </row>
    <row r="123" spans="1:11">
      <c r="A123" s="24">
        <f t="shared" si="19"/>
        <v>71</v>
      </c>
      <c r="B123" s="25">
        <f t="shared" si="20"/>
        <v>8479.4461233150359</v>
      </c>
      <c r="C123" s="37">
        <f t="shared" si="21"/>
        <v>31520.55387668508</v>
      </c>
      <c r="D123" s="27">
        <f t="shared" si="16"/>
        <v>40000.000000000116</v>
      </c>
      <c r="E123" s="38">
        <f t="shared" si="22"/>
        <v>3430126.4313332392</v>
      </c>
      <c r="F123" s="39">
        <f t="shared" si="17"/>
        <v>2394864.8709971821</v>
      </c>
      <c r="G123" s="39">
        <f t="shared" si="18"/>
        <v>445135.1290028264</v>
      </c>
      <c r="K123" s="8">
        <v>6</v>
      </c>
    </row>
    <row r="124" spans="1:11">
      <c r="A124" s="24">
        <f t="shared" si="19"/>
        <v>72</v>
      </c>
      <c r="B124" s="25">
        <f t="shared" si="20"/>
        <v>8557.1743794454233</v>
      </c>
      <c r="C124" s="37">
        <f t="shared" si="21"/>
        <v>31442.825620554693</v>
      </c>
      <c r="D124" s="27">
        <f t="shared" si="16"/>
        <v>40000.000000000116</v>
      </c>
      <c r="E124" s="38">
        <f t="shared" si="22"/>
        <v>3421569.2569537936</v>
      </c>
      <c r="F124" s="39">
        <f t="shared" si="17"/>
        <v>2426307.6966177369</v>
      </c>
      <c r="G124" s="39">
        <f t="shared" si="18"/>
        <v>453692.30338227184</v>
      </c>
      <c r="K124" s="8">
        <v>6</v>
      </c>
    </row>
    <row r="125" spans="1:11">
      <c r="A125" s="24">
        <f t="shared" si="19"/>
        <v>73</v>
      </c>
      <c r="B125" s="25">
        <f t="shared" si="20"/>
        <v>8635.6151445903415</v>
      </c>
      <c r="C125" s="37">
        <f t="shared" si="21"/>
        <v>31364.384855409775</v>
      </c>
      <c r="D125" s="27">
        <f t="shared" si="16"/>
        <v>40000.000000000116</v>
      </c>
      <c r="E125" s="38">
        <f t="shared" si="22"/>
        <v>3412933.6418092032</v>
      </c>
      <c r="F125" s="39">
        <f t="shared" si="17"/>
        <v>2457672.0814731466</v>
      </c>
      <c r="G125" s="39">
        <f t="shared" si="18"/>
        <v>462327.91852686217</v>
      </c>
      <c r="K125" s="8">
        <v>7</v>
      </c>
    </row>
    <row r="126" spans="1:11">
      <c r="A126" s="24">
        <f t="shared" si="19"/>
        <v>74</v>
      </c>
      <c r="B126" s="25">
        <f t="shared" si="20"/>
        <v>8714.7749500824175</v>
      </c>
      <c r="C126" s="37">
        <f t="shared" si="21"/>
        <v>31285.225049917699</v>
      </c>
      <c r="D126" s="27">
        <f t="shared" si="16"/>
        <v>40000.000000000116</v>
      </c>
      <c r="E126" s="38">
        <f t="shared" si="22"/>
        <v>3404218.8668591208</v>
      </c>
      <c r="F126" s="39">
        <f t="shared" si="17"/>
        <v>2488957.3065230642</v>
      </c>
      <c r="G126" s="39">
        <f t="shared" si="18"/>
        <v>471042.69347694458</v>
      </c>
      <c r="K126" s="8">
        <v>7</v>
      </c>
    </row>
    <row r="127" spans="1:11">
      <c r="A127" s="24">
        <f t="shared" si="19"/>
        <v>75</v>
      </c>
      <c r="B127" s="25">
        <f t="shared" si="20"/>
        <v>8794.6603871248408</v>
      </c>
      <c r="C127" s="37">
        <f t="shared" si="21"/>
        <v>31205.339612875276</v>
      </c>
      <c r="D127" s="27">
        <f t="shared" si="16"/>
        <v>40000.000000000116</v>
      </c>
      <c r="E127" s="38">
        <f t="shared" si="22"/>
        <v>3395424.2064719959</v>
      </c>
      <c r="F127" s="39">
        <f t="shared" si="17"/>
        <v>2520162.6461359393</v>
      </c>
      <c r="G127" s="39">
        <f t="shared" si="18"/>
        <v>479837.35386406945</v>
      </c>
      <c r="K127" s="8">
        <v>7</v>
      </c>
    </row>
    <row r="128" spans="1:11">
      <c r="A128" s="24">
        <f t="shared" si="19"/>
        <v>76</v>
      </c>
      <c r="B128" s="25">
        <f t="shared" si="20"/>
        <v>8875.2781073401529</v>
      </c>
      <c r="C128" s="37">
        <f t="shared" si="21"/>
        <v>31124.721892659963</v>
      </c>
      <c r="D128" s="27">
        <f t="shared" si="16"/>
        <v>40000.000000000116</v>
      </c>
      <c r="E128" s="38">
        <f t="shared" si="22"/>
        <v>3386548.9283646559</v>
      </c>
      <c r="F128" s="39">
        <f t="shared" si="17"/>
        <v>2551287.3680285993</v>
      </c>
      <c r="G128" s="39">
        <f t="shared" si="18"/>
        <v>488712.6319714096</v>
      </c>
      <c r="K128" s="8">
        <v>7</v>
      </c>
    </row>
    <row r="129" spans="1:11">
      <c r="A129" s="24">
        <f t="shared" si="19"/>
        <v>77</v>
      </c>
      <c r="B129" s="25">
        <f t="shared" si="20"/>
        <v>8956.6348233241042</v>
      </c>
      <c r="C129" s="37">
        <f t="shared" si="21"/>
        <v>31043.365176676012</v>
      </c>
      <c r="D129" s="27">
        <f t="shared" si="16"/>
        <v>40000.000000000116</v>
      </c>
      <c r="E129" s="38">
        <f t="shared" si="22"/>
        <v>3377592.2935413318</v>
      </c>
      <c r="F129" s="39">
        <f t="shared" si="17"/>
        <v>2582330.7332052751</v>
      </c>
      <c r="G129" s="39">
        <f t="shared" si="18"/>
        <v>497669.2667947337</v>
      </c>
      <c r="K129" s="8">
        <v>7</v>
      </c>
    </row>
    <row r="130" spans="1:11">
      <c r="A130" s="24">
        <f t="shared" si="19"/>
        <v>78</v>
      </c>
      <c r="B130" s="25">
        <f t="shared" si="20"/>
        <v>9038.7373092045746</v>
      </c>
      <c r="C130" s="37">
        <f t="shared" si="21"/>
        <v>30961.262690795542</v>
      </c>
      <c r="D130" s="27">
        <f t="shared" si="16"/>
        <v>40000.000000000116</v>
      </c>
      <c r="E130" s="38">
        <f t="shared" si="22"/>
        <v>3368553.5562321274</v>
      </c>
      <c r="F130" s="39">
        <f t="shared" si="17"/>
        <v>2613291.9958960707</v>
      </c>
      <c r="G130" s="39">
        <f t="shared" si="18"/>
        <v>506708.00410393829</v>
      </c>
      <c r="K130" s="8">
        <v>7</v>
      </c>
    </row>
    <row r="131" spans="1:11">
      <c r="A131" s="24">
        <f t="shared" si="19"/>
        <v>79</v>
      </c>
      <c r="B131" s="25">
        <f t="shared" si="20"/>
        <v>9121.5924012056166</v>
      </c>
      <c r="C131" s="37">
        <f t="shared" si="21"/>
        <v>30878.4075987945</v>
      </c>
      <c r="D131" s="27">
        <f t="shared" si="16"/>
        <v>40000.000000000116</v>
      </c>
      <c r="E131" s="38">
        <f t="shared" si="22"/>
        <v>3359431.9638309218</v>
      </c>
      <c r="F131" s="39">
        <f t="shared" si="17"/>
        <v>2644170.4034948652</v>
      </c>
      <c r="G131" s="39">
        <f t="shared" si="18"/>
        <v>515829.59650514391</v>
      </c>
      <c r="K131" s="8">
        <v>7</v>
      </c>
    </row>
    <row r="132" spans="1:11">
      <c r="A132" s="24">
        <f t="shared" si="19"/>
        <v>80</v>
      </c>
      <c r="B132" s="25">
        <f t="shared" si="20"/>
        <v>9205.2069982166686</v>
      </c>
      <c r="C132" s="37">
        <f t="shared" si="21"/>
        <v>30794.793001783448</v>
      </c>
      <c r="D132" s="27">
        <f t="shared" si="16"/>
        <v>40000.000000000116</v>
      </c>
      <c r="E132" s="38">
        <f t="shared" si="22"/>
        <v>3350226.7568327053</v>
      </c>
      <c r="F132" s="39">
        <f t="shared" si="17"/>
        <v>2674965.1964966487</v>
      </c>
      <c r="G132" s="39">
        <f t="shared" si="18"/>
        <v>525034.8035033606</v>
      </c>
      <c r="K132" s="8">
        <v>7</v>
      </c>
    </row>
    <row r="133" spans="1:11">
      <c r="A133" s="24">
        <f t="shared" si="19"/>
        <v>81</v>
      </c>
      <c r="B133" s="25">
        <f t="shared" si="20"/>
        <v>9289.5880623669836</v>
      </c>
      <c r="C133" s="37">
        <f t="shared" si="21"/>
        <v>30710.411937633133</v>
      </c>
      <c r="D133" s="27">
        <f t="shared" si="16"/>
        <v>40000.000000000116</v>
      </c>
      <c r="E133" s="38">
        <f t="shared" si="22"/>
        <v>3340937.1687703384</v>
      </c>
      <c r="F133" s="39">
        <f t="shared" si="17"/>
        <v>2705675.6084342818</v>
      </c>
      <c r="G133" s="39">
        <f t="shared" si="18"/>
        <v>534324.39156572754</v>
      </c>
      <c r="K133" s="8">
        <v>7</v>
      </c>
    </row>
    <row r="134" spans="1:11">
      <c r="A134" s="24">
        <f t="shared" si="19"/>
        <v>82</v>
      </c>
      <c r="B134" s="25">
        <f t="shared" si="20"/>
        <v>9374.7426196053457</v>
      </c>
      <c r="C134" s="37">
        <f t="shared" si="21"/>
        <v>30625.257380394771</v>
      </c>
      <c r="D134" s="27">
        <f t="shared" si="16"/>
        <v>40000.000000000116</v>
      </c>
      <c r="E134" s="38">
        <f t="shared" si="22"/>
        <v>3331562.4261507331</v>
      </c>
      <c r="F134" s="39">
        <f t="shared" si="17"/>
        <v>2736300.8658146765</v>
      </c>
      <c r="G134" s="39">
        <f t="shared" si="18"/>
        <v>543699.13418533292</v>
      </c>
      <c r="K134" s="8">
        <v>7</v>
      </c>
    </row>
    <row r="135" spans="1:11">
      <c r="A135" s="24">
        <f t="shared" si="19"/>
        <v>83</v>
      </c>
      <c r="B135" s="25">
        <f t="shared" si="20"/>
        <v>9460.6777602850634</v>
      </c>
      <c r="C135" s="37">
        <f t="shared" si="21"/>
        <v>30539.322239715053</v>
      </c>
      <c r="D135" s="27">
        <f t="shared" si="16"/>
        <v>40000.000000000116</v>
      </c>
      <c r="E135" s="38">
        <f t="shared" si="22"/>
        <v>3322101.7483904483</v>
      </c>
      <c r="F135" s="39">
        <f t="shared" si="17"/>
        <v>2766840.1880543916</v>
      </c>
      <c r="G135" s="39">
        <f t="shared" si="18"/>
        <v>553159.81194561801</v>
      </c>
      <c r="K135" s="8">
        <v>7</v>
      </c>
    </row>
    <row r="136" spans="1:11">
      <c r="A136" s="24">
        <f t="shared" si="19"/>
        <v>84</v>
      </c>
      <c r="B136" s="25">
        <f t="shared" si="20"/>
        <v>9547.4006397543417</v>
      </c>
      <c r="C136" s="37">
        <f t="shared" si="21"/>
        <v>30452.599360245775</v>
      </c>
      <c r="D136" s="27">
        <f t="shared" si="16"/>
        <v>40000.000000000116</v>
      </c>
      <c r="E136" s="38">
        <f t="shared" si="22"/>
        <v>3312554.347750694</v>
      </c>
      <c r="F136" s="39">
        <f t="shared" si="17"/>
        <v>2797292.7874146374</v>
      </c>
      <c r="G136" s="39">
        <f t="shared" si="18"/>
        <v>562707.21258537238</v>
      </c>
      <c r="K136" s="8">
        <v>7</v>
      </c>
    </row>
    <row r="137" spans="1:11">
      <c r="A137" s="24">
        <f t="shared" si="19"/>
        <v>85</v>
      </c>
      <c r="B137" s="25">
        <f t="shared" si="20"/>
        <v>9634.9184789520841</v>
      </c>
      <c r="C137" s="37">
        <f t="shared" si="21"/>
        <v>30365.081521048032</v>
      </c>
      <c r="D137" s="27">
        <f t="shared" si="16"/>
        <v>40000.000000000116</v>
      </c>
      <c r="E137" s="38">
        <f t="shared" si="22"/>
        <v>3302919.4292717418</v>
      </c>
      <c r="F137" s="39">
        <f t="shared" si="17"/>
        <v>2827657.8689356856</v>
      </c>
      <c r="G137" s="39">
        <f t="shared" si="18"/>
        <v>572342.13106432452</v>
      </c>
      <c r="K137" s="8">
        <v>8</v>
      </c>
    </row>
    <row r="138" spans="1:11">
      <c r="A138" s="24">
        <f t="shared" si="19"/>
        <v>86</v>
      </c>
      <c r="B138" s="25">
        <f t="shared" si="20"/>
        <v>9723.2385650091492</v>
      </c>
      <c r="C138" s="37">
        <f t="shared" si="21"/>
        <v>30276.761434990967</v>
      </c>
      <c r="D138" s="27">
        <f t="shared" si="16"/>
        <v>40000.000000000116</v>
      </c>
      <c r="E138" s="38">
        <f t="shared" si="22"/>
        <v>3293196.1907067327</v>
      </c>
      <c r="F138" s="39">
        <f t="shared" si="17"/>
        <v>2857934.6303706765</v>
      </c>
      <c r="G138" s="39">
        <f t="shared" si="18"/>
        <v>582065.36962933373</v>
      </c>
      <c r="K138" s="8">
        <v>8</v>
      </c>
    </row>
    <row r="139" spans="1:11">
      <c r="A139" s="24">
        <f t="shared" si="19"/>
        <v>87</v>
      </c>
      <c r="B139" s="25">
        <f t="shared" si="20"/>
        <v>9812.3682518550668</v>
      </c>
      <c r="C139" s="37">
        <f t="shared" si="21"/>
        <v>30187.63174814505</v>
      </c>
      <c r="D139" s="27">
        <f t="shared" si="16"/>
        <v>40000.000000000116</v>
      </c>
      <c r="E139" s="38">
        <f t="shared" si="22"/>
        <v>3283383.8224548777</v>
      </c>
      <c r="F139" s="39">
        <f t="shared" si="17"/>
        <v>2888122.2621188215</v>
      </c>
      <c r="G139" s="39">
        <f t="shared" si="18"/>
        <v>591877.73788118875</v>
      </c>
      <c r="K139" s="8">
        <v>8</v>
      </c>
    </row>
    <row r="140" spans="1:11">
      <c r="A140" s="24">
        <f t="shared" si="19"/>
        <v>88</v>
      </c>
      <c r="B140" s="25">
        <f t="shared" si="20"/>
        <v>9902.3149608304047</v>
      </c>
      <c r="C140" s="37">
        <f t="shared" si="21"/>
        <v>30097.685039169712</v>
      </c>
      <c r="D140" s="27">
        <f t="shared" si="16"/>
        <v>40000.000000000116</v>
      </c>
      <c r="E140" s="38">
        <f t="shared" si="22"/>
        <v>3273481.5074940473</v>
      </c>
      <c r="F140" s="39">
        <f t="shared" si="17"/>
        <v>2918219.9471579911</v>
      </c>
      <c r="G140" s="39">
        <f t="shared" si="18"/>
        <v>601780.05284201913</v>
      </c>
      <c r="K140" s="8">
        <v>8</v>
      </c>
    </row>
    <row r="141" spans="1:11">
      <c r="A141" s="24">
        <f t="shared" si="19"/>
        <v>89</v>
      </c>
      <c r="B141" s="25">
        <f t="shared" si="20"/>
        <v>9993.0861813046831</v>
      </c>
      <c r="C141" s="37">
        <f t="shared" si="21"/>
        <v>30006.913818695433</v>
      </c>
      <c r="D141" s="27">
        <f t="shared" si="16"/>
        <v>40000.000000000116</v>
      </c>
      <c r="E141" s="38">
        <f t="shared" si="22"/>
        <v>3263488.4213127424</v>
      </c>
      <c r="F141" s="39">
        <f t="shared" si="17"/>
        <v>2948226.8609766867</v>
      </c>
      <c r="G141" s="39">
        <f t="shared" si="18"/>
        <v>611773.13902332378</v>
      </c>
      <c r="K141" s="8">
        <v>8</v>
      </c>
    </row>
    <row r="142" spans="1:11">
      <c r="A142" s="24">
        <f t="shared" si="19"/>
        <v>90</v>
      </c>
      <c r="B142" s="25">
        <f t="shared" si="20"/>
        <v>10084.689471299978</v>
      </c>
      <c r="C142" s="37">
        <f t="shared" si="21"/>
        <v>29915.310528700138</v>
      </c>
      <c r="D142" s="27">
        <f t="shared" si="16"/>
        <v>40000.000000000116</v>
      </c>
      <c r="E142" s="38">
        <f t="shared" si="22"/>
        <v>3253403.7318414426</v>
      </c>
      <c r="F142" s="39">
        <f t="shared" si="17"/>
        <v>2978142.1715053869</v>
      </c>
      <c r="G142" s="39">
        <f t="shared" si="18"/>
        <v>621857.82849462377</v>
      </c>
      <c r="K142" s="8">
        <v>8</v>
      </c>
    </row>
    <row r="143" spans="1:11">
      <c r="A143" s="24">
        <f t="shared" si="19"/>
        <v>91</v>
      </c>
      <c r="B143" s="25">
        <f t="shared" si="20"/>
        <v>10177.132458120224</v>
      </c>
      <c r="C143" s="37">
        <f t="shared" si="21"/>
        <v>29822.867541879892</v>
      </c>
      <c r="D143" s="27">
        <f t="shared" si="16"/>
        <v>40000.000000000116</v>
      </c>
      <c r="E143" s="38">
        <f t="shared" si="22"/>
        <v>3243226.5993833225</v>
      </c>
      <c r="F143" s="39">
        <f t="shared" si="17"/>
        <v>3007965.0390472668</v>
      </c>
      <c r="G143" s="39">
        <f t="shared" si="18"/>
        <v>632034.960952744</v>
      </c>
      <c r="K143" s="8">
        <v>8</v>
      </c>
    </row>
    <row r="144" spans="1:11">
      <c r="A144" s="24">
        <f t="shared" si="19"/>
        <v>92</v>
      </c>
      <c r="B144" s="25">
        <f t="shared" si="20"/>
        <v>10270.422838986327</v>
      </c>
      <c r="C144" s="37">
        <f t="shared" si="21"/>
        <v>29729.577161013789</v>
      </c>
      <c r="D144" s="27">
        <f t="shared" si="16"/>
        <v>40000.000000000116</v>
      </c>
      <c r="E144" s="38">
        <f t="shared" si="22"/>
        <v>3232956.1765443361</v>
      </c>
      <c r="F144" s="39">
        <f t="shared" si="17"/>
        <v>3037694.6162082804</v>
      </c>
      <c r="G144" s="39">
        <f t="shared" si="18"/>
        <v>642305.38379173027</v>
      </c>
      <c r="K144" s="8">
        <v>8</v>
      </c>
    </row>
    <row r="145" spans="1:11">
      <c r="A145" s="24">
        <f t="shared" si="19"/>
        <v>93</v>
      </c>
      <c r="B145" s="25">
        <f t="shared" si="20"/>
        <v>10364.568381677036</v>
      </c>
      <c r="C145" s="37">
        <f t="shared" si="21"/>
        <v>29635.43161832308</v>
      </c>
      <c r="D145" s="27">
        <f t="shared" si="16"/>
        <v>40000.000000000116</v>
      </c>
      <c r="E145" s="38">
        <f t="shared" si="22"/>
        <v>3222591.6081626592</v>
      </c>
      <c r="F145" s="39">
        <f t="shared" si="17"/>
        <v>3067330.0478266035</v>
      </c>
      <c r="G145" s="39">
        <f t="shared" si="18"/>
        <v>652669.95217340731</v>
      </c>
      <c r="K145" s="8">
        <v>8</v>
      </c>
    </row>
    <row r="146" spans="1:11">
      <c r="A146" s="24">
        <f t="shared" si="19"/>
        <v>94</v>
      </c>
      <c r="B146" s="25">
        <f t="shared" si="20"/>
        <v>10459.576925175741</v>
      </c>
      <c r="C146" s="37">
        <f t="shared" si="21"/>
        <v>29540.423074824375</v>
      </c>
      <c r="D146" s="27">
        <f t="shared" si="16"/>
        <v>40000.000000000116</v>
      </c>
      <c r="E146" s="38">
        <f t="shared" si="22"/>
        <v>3212132.0312374835</v>
      </c>
      <c r="F146" s="39">
        <f t="shared" si="17"/>
        <v>3096870.4709014278</v>
      </c>
      <c r="G146" s="39">
        <f t="shared" si="18"/>
        <v>663129.52909858304</v>
      </c>
      <c r="K146" s="8">
        <v>8</v>
      </c>
    </row>
    <row r="147" spans="1:11">
      <c r="A147" s="24">
        <f t="shared" si="19"/>
        <v>95</v>
      </c>
      <c r="B147" s="25">
        <f t="shared" si="20"/>
        <v>10555.456380323183</v>
      </c>
      <c r="C147" s="37">
        <f t="shared" si="21"/>
        <v>29444.543619676933</v>
      </c>
      <c r="D147" s="27">
        <f t="shared" si="16"/>
        <v>40000.000000000116</v>
      </c>
      <c r="E147" s="38">
        <f t="shared" si="22"/>
        <v>3201576.5748571604</v>
      </c>
      <c r="F147" s="39">
        <f t="shared" si="17"/>
        <v>3126315.0145211047</v>
      </c>
      <c r="G147" s="39">
        <f t="shared" si="18"/>
        <v>673684.98547890619</v>
      </c>
      <c r="K147" s="8">
        <v>8</v>
      </c>
    </row>
    <row r="148" spans="1:11">
      <c r="A148" s="24">
        <f t="shared" si="19"/>
        <v>96</v>
      </c>
      <c r="B148" s="25">
        <f t="shared" si="20"/>
        <v>10652.214730476146</v>
      </c>
      <c r="C148" s="37">
        <f t="shared" si="21"/>
        <v>29347.785269523971</v>
      </c>
      <c r="D148" s="27">
        <f t="shared" si="16"/>
        <v>40000.000000000116</v>
      </c>
      <c r="E148" s="38">
        <f t="shared" si="22"/>
        <v>3190924.3601266844</v>
      </c>
      <c r="F148" s="39">
        <f t="shared" si="17"/>
        <v>3155662.7997906287</v>
      </c>
      <c r="G148" s="39">
        <f t="shared" si="18"/>
        <v>684337.20020938234</v>
      </c>
      <c r="K148" s="8">
        <v>8</v>
      </c>
    </row>
    <row r="149" spans="1:11">
      <c r="A149" s="24">
        <f t="shared" si="19"/>
        <v>97</v>
      </c>
      <c r="B149" s="25">
        <f t="shared" si="20"/>
        <v>10749.860032172175</v>
      </c>
      <c r="C149" s="37">
        <f t="shared" si="21"/>
        <v>29250.139967827941</v>
      </c>
      <c r="D149" s="27">
        <f t="shared" si="16"/>
        <v>40000.000000000116</v>
      </c>
      <c r="E149" s="38">
        <f t="shared" si="22"/>
        <v>3180174.5000945125</v>
      </c>
      <c r="F149" s="39">
        <f t="shared" si="17"/>
        <v>3184912.9397584568</v>
      </c>
      <c r="G149" s="39">
        <f t="shared" si="18"/>
        <v>695087.06024155451</v>
      </c>
      <c r="K149" s="8">
        <v>9</v>
      </c>
    </row>
    <row r="150" spans="1:11">
      <c r="A150" s="24">
        <f t="shared" si="19"/>
        <v>98</v>
      </c>
      <c r="B150" s="25">
        <f t="shared" si="20"/>
        <v>10848.400415800421</v>
      </c>
      <c r="C150" s="37">
        <f t="shared" si="21"/>
        <v>29151.599584199696</v>
      </c>
      <c r="D150" s="27">
        <f t="shared" si="16"/>
        <v>40000.000000000116</v>
      </c>
      <c r="E150" s="38">
        <f t="shared" si="22"/>
        <v>3169326.099678712</v>
      </c>
      <c r="F150" s="39">
        <f t="shared" si="17"/>
        <v>3214064.5393426563</v>
      </c>
      <c r="G150" s="39">
        <f t="shared" si="18"/>
        <v>705935.46065735491</v>
      </c>
      <c r="K150" s="8">
        <v>9</v>
      </c>
    </row>
    <row r="151" spans="1:11">
      <c r="A151" s="24">
        <f t="shared" si="19"/>
        <v>99</v>
      </c>
      <c r="B151" s="25">
        <f t="shared" si="20"/>
        <v>10947.84408627859</v>
      </c>
      <c r="C151" s="37">
        <f t="shared" si="21"/>
        <v>29052.155913721526</v>
      </c>
      <c r="D151" s="27">
        <f t="shared" si="16"/>
        <v>40000.000000000116</v>
      </c>
      <c r="E151" s="38">
        <f t="shared" si="22"/>
        <v>3158378.2555924333</v>
      </c>
      <c r="F151" s="39">
        <f t="shared" si="17"/>
        <v>3243116.6952563776</v>
      </c>
      <c r="G151" s="39">
        <f t="shared" si="18"/>
        <v>716883.30474363349</v>
      </c>
      <c r="K151" s="8">
        <v>9</v>
      </c>
    </row>
    <row r="152" spans="1:11">
      <c r="A152" s="24">
        <f t="shared" si="19"/>
        <v>100</v>
      </c>
      <c r="B152" s="25">
        <f t="shared" si="20"/>
        <v>11048.199323736146</v>
      </c>
      <c r="C152" s="37">
        <f t="shared" si="21"/>
        <v>28951.800676263971</v>
      </c>
      <c r="D152" s="27">
        <f t="shared" si="16"/>
        <v>40000.000000000116</v>
      </c>
      <c r="E152" s="38">
        <f t="shared" si="22"/>
        <v>3147330.0562686971</v>
      </c>
      <c r="F152" s="39">
        <f t="shared" si="17"/>
        <v>3272068.4959326414</v>
      </c>
      <c r="G152" s="39">
        <f t="shared" si="18"/>
        <v>727931.50406736962</v>
      </c>
      <c r="K152" s="8">
        <v>9</v>
      </c>
    </row>
    <row r="153" spans="1:11">
      <c r="A153" s="24">
        <f t="shared" si="19"/>
        <v>101</v>
      </c>
      <c r="B153" s="25">
        <f t="shared" si="20"/>
        <v>11149.474484203729</v>
      </c>
      <c r="C153" s="37">
        <f t="shared" si="21"/>
        <v>28850.525515796387</v>
      </c>
      <c r="D153" s="27">
        <f t="shared" si="16"/>
        <v>40000.000000000116</v>
      </c>
      <c r="E153" s="38">
        <f t="shared" si="22"/>
        <v>3136180.5817844933</v>
      </c>
      <c r="F153" s="39">
        <f t="shared" si="17"/>
        <v>3300919.0214484381</v>
      </c>
      <c r="G153" s="39">
        <f t="shared" si="18"/>
        <v>739080.97855157335</v>
      </c>
      <c r="K153" s="8">
        <v>9</v>
      </c>
    </row>
    <row r="154" spans="1:11">
      <c r="A154" s="24">
        <f t="shared" si="19"/>
        <v>102</v>
      </c>
      <c r="B154" s="25">
        <f t="shared" si="20"/>
        <v>11251.678000308926</v>
      </c>
      <c r="C154" s="37">
        <f t="shared" si="21"/>
        <v>28748.32199969119</v>
      </c>
      <c r="D154" s="27">
        <f t="shared" si="16"/>
        <v>40000.000000000116</v>
      </c>
      <c r="E154" s="38">
        <f t="shared" si="22"/>
        <v>3124928.9037841843</v>
      </c>
      <c r="F154" s="39">
        <f t="shared" si="17"/>
        <v>3329667.343448129</v>
      </c>
      <c r="G154" s="39">
        <f t="shared" si="18"/>
        <v>750332.65655188228</v>
      </c>
      <c r="K154" s="8">
        <v>9</v>
      </c>
    </row>
    <row r="155" spans="1:11">
      <c r="A155" s="24">
        <f t="shared" si="19"/>
        <v>103</v>
      </c>
      <c r="B155" s="25">
        <f t="shared" si="20"/>
        <v>11354.818381978428</v>
      </c>
      <c r="C155" s="37">
        <f t="shared" si="21"/>
        <v>28645.181618021688</v>
      </c>
      <c r="D155" s="27">
        <f t="shared" si="16"/>
        <v>40000.000000000116</v>
      </c>
      <c r="E155" s="38">
        <f t="shared" si="22"/>
        <v>3113574.0854022061</v>
      </c>
      <c r="F155" s="39">
        <f t="shared" si="17"/>
        <v>3358312.5250661508</v>
      </c>
      <c r="G155" s="39">
        <f t="shared" si="18"/>
        <v>761687.47493386071</v>
      </c>
      <c r="K155" s="8">
        <v>9</v>
      </c>
    </row>
    <row r="156" spans="1:11">
      <c r="A156" s="24">
        <f t="shared" si="19"/>
        <v>104</v>
      </c>
      <c r="B156" s="25">
        <f t="shared" si="20"/>
        <v>11458.904217146559</v>
      </c>
      <c r="C156" s="37">
        <f t="shared" si="21"/>
        <v>28541.095782853557</v>
      </c>
      <c r="D156" s="27">
        <f t="shared" si="16"/>
        <v>40000.000000000116</v>
      </c>
      <c r="E156" s="38">
        <f t="shared" si="22"/>
        <v>3102115.1811850597</v>
      </c>
      <c r="F156" s="39">
        <f t="shared" si="17"/>
        <v>3386853.6208490045</v>
      </c>
      <c r="G156" s="39">
        <f t="shared" si="18"/>
        <v>773146.37915100728</v>
      </c>
      <c r="K156" s="8">
        <v>9</v>
      </c>
    </row>
    <row r="157" spans="1:11">
      <c r="A157" s="24">
        <f t="shared" si="19"/>
        <v>105</v>
      </c>
      <c r="B157" s="25">
        <f t="shared" si="20"/>
        <v>11563.944172470405</v>
      </c>
      <c r="C157" s="37">
        <f t="shared" si="21"/>
        <v>28436.055827529712</v>
      </c>
      <c r="D157" s="27">
        <f t="shared" si="16"/>
        <v>40000.000000000116</v>
      </c>
      <c r="E157" s="38">
        <f t="shared" si="22"/>
        <v>3090551.2370125894</v>
      </c>
      <c r="F157" s="39">
        <f t="shared" si="17"/>
        <v>3415289.6766765341</v>
      </c>
      <c r="G157" s="39">
        <f t="shared" si="18"/>
        <v>784710.32332347764</v>
      </c>
      <c r="K157" s="8">
        <v>9</v>
      </c>
    </row>
    <row r="158" spans="1:11">
      <c r="A158" s="24">
        <f t="shared" si="19"/>
        <v>106</v>
      </c>
      <c r="B158" s="25">
        <f t="shared" si="20"/>
        <v>11669.946994051381</v>
      </c>
      <c r="C158" s="37">
        <f t="shared" si="21"/>
        <v>28330.053005948736</v>
      </c>
      <c r="D158" s="27">
        <f t="shared" si="16"/>
        <v>40000.000000000116</v>
      </c>
      <c r="E158" s="38">
        <f t="shared" si="22"/>
        <v>3078881.290018538</v>
      </c>
      <c r="F158" s="39">
        <f t="shared" si="17"/>
        <v>3443619.7296824828</v>
      </c>
      <c r="G158" s="39">
        <f t="shared" si="18"/>
        <v>796380.27031752898</v>
      </c>
      <c r="K158" s="8">
        <v>9</v>
      </c>
    </row>
    <row r="159" spans="1:11">
      <c r="A159" s="24">
        <f t="shared" si="19"/>
        <v>107</v>
      </c>
      <c r="B159" s="25">
        <f t="shared" si="20"/>
        <v>11776.921508163519</v>
      </c>
      <c r="C159" s="37">
        <f t="shared" si="21"/>
        <v>28223.078491836597</v>
      </c>
      <c r="D159" s="27">
        <f t="shared" si="16"/>
        <v>40000.000000000116</v>
      </c>
      <c r="E159" s="38">
        <f t="shared" si="22"/>
        <v>3067104.3685103743</v>
      </c>
      <c r="F159" s="39">
        <f t="shared" si="17"/>
        <v>3471842.8081743196</v>
      </c>
      <c r="G159" s="39">
        <f t="shared" si="18"/>
        <v>808157.19182569254</v>
      </c>
      <c r="K159" s="8">
        <v>9</v>
      </c>
    </row>
    <row r="160" spans="1:11">
      <c r="A160" s="24">
        <f t="shared" si="19"/>
        <v>108</v>
      </c>
      <c r="B160" s="25">
        <f t="shared" si="20"/>
        <v>11884.876621988351</v>
      </c>
      <c r="C160" s="37">
        <f t="shared" si="21"/>
        <v>28115.123378011765</v>
      </c>
      <c r="D160" s="27">
        <f t="shared" si="16"/>
        <v>40000.000000000116</v>
      </c>
      <c r="E160" s="38">
        <f t="shared" si="22"/>
        <v>3055219.4918883862</v>
      </c>
      <c r="F160" s="39">
        <f t="shared" si="17"/>
        <v>3499957.9315523314</v>
      </c>
      <c r="G160" s="39">
        <f t="shared" si="18"/>
        <v>820042.06844768091</v>
      </c>
      <c r="K160" s="8">
        <v>9</v>
      </c>
    </row>
    <row r="161" spans="1:11">
      <c r="A161" s="24">
        <f t="shared" si="19"/>
        <v>109</v>
      </c>
      <c r="B161" s="25">
        <f t="shared" si="20"/>
        <v>11993.821324356573</v>
      </c>
      <c r="C161" s="37">
        <f t="shared" si="21"/>
        <v>28006.178675643543</v>
      </c>
      <c r="D161" s="27">
        <f t="shared" si="16"/>
        <v>40000.000000000116</v>
      </c>
      <c r="E161" s="38">
        <f t="shared" si="22"/>
        <v>3043225.6705640298</v>
      </c>
      <c r="F161" s="39">
        <f t="shared" si="17"/>
        <v>3527964.1102279751</v>
      </c>
      <c r="G161" s="39">
        <f t="shared" si="18"/>
        <v>832035.88977203751</v>
      </c>
      <c r="K161" s="8">
        <v>10</v>
      </c>
    </row>
    <row r="162" spans="1:11">
      <c r="A162" s="24">
        <f t="shared" si="19"/>
        <v>110</v>
      </c>
      <c r="B162" s="25">
        <f t="shared" si="20"/>
        <v>12103.76468649651</v>
      </c>
      <c r="C162" s="37">
        <f t="shared" si="21"/>
        <v>27896.235313503606</v>
      </c>
      <c r="D162" s="27">
        <f t="shared" si="16"/>
        <v>40000.000000000116</v>
      </c>
      <c r="E162" s="38">
        <f t="shared" si="22"/>
        <v>3031121.9058775334</v>
      </c>
      <c r="F162" s="39">
        <f t="shared" si="17"/>
        <v>3555860.3455414786</v>
      </c>
      <c r="G162" s="39">
        <f t="shared" si="18"/>
        <v>844139.65445853397</v>
      </c>
      <c r="K162" s="8">
        <v>10</v>
      </c>
    </row>
    <row r="163" spans="1:11">
      <c r="A163" s="24">
        <f t="shared" si="19"/>
        <v>111</v>
      </c>
      <c r="B163" s="25">
        <f t="shared" si="20"/>
        <v>12214.715862789395</v>
      </c>
      <c r="C163" s="37">
        <f t="shared" si="21"/>
        <v>27785.284137210721</v>
      </c>
      <c r="D163" s="27">
        <f t="shared" si="16"/>
        <v>40000.000000000116</v>
      </c>
      <c r="E163" s="38">
        <f t="shared" si="22"/>
        <v>3018907.1900147442</v>
      </c>
      <c r="F163" s="39">
        <f t="shared" si="17"/>
        <v>3583645.6296786894</v>
      </c>
      <c r="G163" s="39">
        <f t="shared" si="18"/>
        <v>856354.3703213234</v>
      </c>
      <c r="K163" s="8">
        <v>10</v>
      </c>
    </row>
    <row r="164" spans="1:11">
      <c r="A164" s="24">
        <f t="shared" si="19"/>
        <v>112</v>
      </c>
      <c r="B164" s="25">
        <f t="shared" si="20"/>
        <v>12326.684091531628</v>
      </c>
      <c r="C164" s="37">
        <f t="shared" si="21"/>
        <v>27673.315908468488</v>
      </c>
      <c r="D164" s="27">
        <f t="shared" si="16"/>
        <v>40000.000000000116</v>
      </c>
      <c r="E164" s="38">
        <f t="shared" si="22"/>
        <v>3006580.5059232125</v>
      </c>
      <c r="F164" s="39">
        <f t="shared" si="17"/>
        <v>3611318.9455871577</v>
      </c>
      <c r="G164" s="39">
        <f t="shared" si="18"/>
        <v>868681.05441285507</v>
      </c>
      <c r="K164" s="8">
        <v>10</v>
      </c>
    </row>
    <row r="165" spans="1:11">
      <c r="A165" s="24">
        <f t="shared" si="19"/>
        <v>113</v>
      </c>
      <c r="B165" s="25">
        <f t="shared" si="20"/>
        <v>12439.678695704002</v>
      </c>
      <c r="C165" s="37">
        <f t="shared" si="21"/>
        <v>27560.321304296114</v>
      </c>
      <c r="D165" s="27">
        <f t="shared" si="16"/>
        <v>40000.000000000116</v>
      </c>
      <c r="E165" s="38">
        <f t="shared" si="22"/>
        <v>2994140.8272275086</v>
      </c>
      <c r="F165" s="39">
        <f t="shared" si="17"/>
        <v>3638879.2668914539</v>
      </c>
      <c r="G165" s="39">
        <f t="shared" si="18"/>
        <v>881120.73310855904</v>
      </c>
      <c r="K165" s="8">
        <v>10</v>
      </c>
    </row>
    <row r="166" spans="1:11">
      <c r="A166" s="24">
        <f t="shared" si="19"/>
        <v>114</v>
      </c>
      <c r="B166" s="25">
        <f t="shared" si="20"/>
        <v>12553.709083747952</v>
      </c>
      <c r="C166" s="37">
        <f t="shared" si="21"/>
        <v>27446.290916252165</v>
      </c>
      <c r="D166" s="27">
        <f t="shared" si="16"/>
        <v>40000.000000000116</v>
      </c>
      <c r="E166" s="38">
        <f t="shared" si="22"/>
        <v>2981587.1181437606</v>
      </c>
      <c r="F166" s="39">
        <f t="shared" si="17"/>
        <v>3666325.5578077058</v>
      </c>
      <c r="G166" s="39">
        <f t="shared" si="18"/>
        <v>893674.44219230697</v>
      </c>
      <c r="K166" s="8">
        <v>10</v>
      </c>
    </row>
    <row r="167" spans="1:11">
      <c r="A167" s="24">
        <f t="shared" si="19"/>
        <v>115</v>
      </c>
      <c r="B167" s="25">
        <f t="shared" si="20"/>
        <v>12668.784750348976</v>
      </c>
      <c r="C167" s="37">
        <f t="shared" si="21"/>
        <v>27331.215249651141</v>
      </c>
      <c r="D167" s="27">
        <f t="shared" si="16"/>
        <v>40000.000000000116</v>
      </c>
      <c r="E167" s="38">
        <f t="shared" si="22"/>
        <v>2968918.3333934117</v>
      </c>
      <c r="F167" s="39">
        <f t="shared" si="17"/>
        <v>3693656.7730573569</v>
      </c>
      <c r="G167" s="39">
        <f t="shared" si="18"/>
        <v>906343.22694265598</v>
      </c>
      <c r="K167" s="8">
        <v>10</v>
      </c>
    </row>
    <row r="168" spans="1:11">
      <c r="A168" s="24">
        <f t="shared" si="19"/>
        <v>116</v>
      </c>
      <c r="B168" s="25">
        <f t="shared" si="20"/>
        <v>12784.915277227177</v>
      </c>
      <c r="C168" s="37">
        <f t="shared" si="21"/>
        <v>27215.084722772939</v>
      </c>
      <c r="D168" s="27">
        <f t="shared" si="16"/>
        <v>40000.000000000116</v>
      </c>
      <c r="E168" s="38">
        <f t="shared" si="22"/>
        <v>2956133.4181161844</v>
      </c>
      <c r="F168" s="39">
        <f t="shared" si="17"/>
        <v>3720871.8577801296</v>
      </c>
      <c r="G168" s="39">
        <f t="shared" si="18"/>
        <v>919128.14221988316</v>
      </c>
      <c r="K168" s="8">
        <v>10</v>
      </c>
    </row>
    <row r="169" spans="1:11">
      <c r="A169" s="24">
        <f t="shared" si="19"/>
        <v>117</v>
      </c>
      <c r="B169" s="25">
        <f t="shared" si="20"/>
        <v>12902.110333935092</v>
      </c>
      <c r="C169" s="37">
        <f t="shared" si="21"/>
        <v>27097.889666065024</v>
      </c>
      <c r="D169" s="27">
        <f t="shared" si="16"/>
        <v>40000.000000000116</v>
      </c>
      <c r="E169" s="38">
        <f t="shared" si="22"/>
        <v>2943231.3077822495</v>
      </c>
      <c r="F169" s="39">
        <f t="shared" si="17"/>
        <v>3747969.7474461948</v>
      </c>
      <c r="G169" s="39">
        <f t="shared" si="18"/>
        <v>932030.25255381828</v>
      </c>
      <c r="K169" s="8">
        <v>10</v>
      </c>
    </row>
    <row r="170" spans="1:11">
      <c r="A170" s="24">
        <f t="shared" si="19"/>
        <v>118</v>
      </c>
      <c r="B170" s="25">
        <f t="shared" si="20"/>
        <v>13020.379678662826</v>
      </c>
      <c r="C170" s="37">
        <f t="shared" si="21"/>
        <v>26979.62032133729</v>
      </c>
      <c r="D170" s="27">
        <f t="shared" si="16"/>
        <v>40000.000000000116</v>
      </c>
      <c r="E170" s="38">
        <f t="shared" si="22"/>
        <v>2930210.9281035867</v>
      </c>
      <c r="F170" s="39">
        <f t="shared" si="17"/>
        <v>3774949.3677675319</v>
      </c>
      <c r="G170" s="39">
        <f t="shared" si="18"/>
        <v>945050.63223248115</v>
      </c>
      <c r="K170" s="8">
        <v>10</v>
      </c>
    </row>
    <row r="171" spans="1:11">
      <c r="A171" s="24">
        <f t="shared" si="19"/>
        <v>119</v>
      </c>
      <c r="B171" s="25">
        <f t="shared" si="20"/>
        <v>13139.733159050575</v>
      </c>
      <c r="C171" s="37">
        <f t="shared" si="21"/>
        <v>26860.266840949542</v>
      </c>
      <c r="D171" s="27">
        <f t="shared" si="16"/>
        <v>40000.000000000116</v>
      </c>
      <c r="E171" s="38">
        <f t="shared" si="22"/>
        <v>2917071.1949445363</v>
      </c>
      <c r="F171" s="39">
        <f t="shared" si="17"/>
        <v>3801809.6346084815</v>
      </c>
      <c r="G171" s="39">
        <f t="shared" si="18"/>
        <v>958190.36539153173</v>
      </c>
      <c r="K171" s="8">
        <v>10</v>
      </c>
    </row>
    <row r="172" spans="1:11">
      <c r="A172" s="24">
        <f t="shared" si="19"/>
        <v>120</v>
      </c>
      <c r="B172" s="25">
        <f t="shared" si="20"/>
        <v>13260.180713008533</v>
      </c>
      <c r="C172" s="37">
        <f t="shared" si="21"/>
        <v>26739.819286991584</v>
      </c>
      <c r="D172" s="27">
        <f t="shared" si="16"/>
        <v>40000.000000000116</v>
      </c>
      <c r="E172" s="38">
        <f t="shared" si="22"/>
        <v>2903811.0142315277</v>
      </c>
      <c r="F172" s="39">
        <f t="shared" si="17"/>
        <v>3828549.4538954729</v>
      </c>
      <c r="G172" s="39">
        <f t="shared" si="18"/>
        <v>971450.54610454023</v>
      </c>
      <c r="K172" s="8">
        <v>10</v>
      </c>
    </row>
    <row r="173" spans="1:11">
      <c r="A173" s="24">
        <f t="shared" si="19"/>
        <v>121</v>
      </c>
      <c r="B173" s="25">
        <f t="shared" si="20"/>
        <v>13381.732369544447</v>
      </c>
      <c r="C173" s="37">
        <f t="shared" si="21"/>
        <v>26618.26763045567</v>
      </c>
      <c r="D173" s="27">
        <f t="shared" si="16"/>
        <v>40000.000000000116</v>
      </c>
      <c r="E173" s="38">
        <f t="shared" si="22"/>
        <v>2890429.2818619832</v>
      </c>
      <c r="F173" s="39">
        <f t="shared" si="17"/>
        <v>3855167.7215259285</v>
      </c>
      <c r="G173" s="39">
        <f t="shared" si="18"/>
        <v>984832.27847408468</v>
      </c>
      <c r="K173" s="8">
        <v>11</v>
      </c>
    </row>
    <row r="174" spans="1:11">
      <c r="A174" s="24">
        <f t="shared" si="19"/>
        <v>122</v>
      </c>
      <c r="B174" s="25">
        <f t="shared" si="20"/>
        <v>13504.398249598602</v>
      </c>
      <c r="C174" s="37">
        <f t="shared" si="21"/>
        <v>26495.601750401514</v>
      </c>
      <c r="D174" s="27">
        <f t="shared" si="16"/>
        <v>40000.000000000116</v>
      </c>
      <c r="E174" s="38">
        <f t="shared" si="22"/>
        <v>2876924.8836123846</v>
      </c>
      <c r="F174" s="39">
        <f t="shared" si="17"/>
        <v>3881663.3232763298</v>
      </c>
      <c r="G174" s="39">
        <f t="shared" si="18"/>
        <v>998336.67672368325</v>
      </c>
      <c r="K174" s="8">
        <v>11</v>
      </c>
    </row>
    <row r="175" spans="1:11">
      <c r="A175" s="24">
        <f t="shared" si="19"/>
        <v>123</v>
      </c>
      <c r="B175" s="25">
        <f t="shared" si="20"/>
        <v>13628.188566886591</v>
      </c>
      <c r="C175" s="37">
        <f t="shared" si="21"/>
        <v>26371.811433113526</v>
      </c>
      <c r="D175" s="27">
        <f t="shared" si="16"/>
        <v>40000.000000000116</v>
      </c>
      <c r="E175" s="38">
        <f t="shared" si="22"/>
        <v>2863296.6950454977</v>
      </c>
      <c r="F175" s="39">
        <f t="shared" si="17"/>
        <v>3908035.1347094434</v>
      </c>
      <c r="G175" s="39">
        <f t="shared" si="18"/>
        <v>1011964.8652905698</v>
      </c>
      <c r="K175" s="8">
        <v>11</v>
      </c>
    </row>
    <row r="176" spans="1:11">
      <c r="A176" s="24">
        <f t="shared" si="19"/>
        <v>124</v>
      </c>
      <c r="B176" s="25">
        <f t="shared" si="20"/>
        <v>13753.113628749721</v>
      </c>
      <c r="C176" s="37">
        <f t="shared" si="21"/>
        <v>26246.886371250395</v>
      </c>
      <c r="D176" s="27">
        <f t="shared" si="16"/>
        <v>40000.000000000116</v>
      </c>
      <c r="E176" s="38">
        <f t="shared" si="22"/>
        <v>2849543.581416748</v>
      </c>
      <c r="F176" s="39">
        <f t="shared" si="17"/>
        <v>3934282.0210806937</v>
      </c>
      <c r="G176" s="39">
        <f t="shared" si="18"/>
        <v>1025717.9789193196</v>
      </c>
      <c r="K176" s="8">
        <v>11</v>
      </c>
    </row>
    <row r="177" spans="1:11">
      <c r="A177" s="24">
        <f t="shared" si="19"/>
        <v>125</v>
      </c>
      <c r="B177" s="25">
        <f t="shared" si="20"/>
        <v>13879.183837013261</v>
      </c>
      <c r="C177" s="37">
        <f t="shared" si="21"/>
        <v>26120.816162986855</v>
      </c>
      <c r="D177" s="27">
        <f t="shared" si="16"/>
        <v>40000.000000000116</v>
      </c>
      <c r="E177" s="38">
        <f t="shared" si="22"/>
        <v>2835664.3975797347</v>
      </c>
      <c r="F177" s="39">
        <f t="shared" si="17"/>
        <v>3960402.8372436804</v>
      </c>
      <c r="G177" s="39">
        <f t="shared" si="18"/>
        <v>1039597.1627563329</v>
      </c>
      <c r="K177" s="8">
        <v>11</v>
      </c>
    </row>
    <row r="178" spans="1:11">
      <c r="A178" s="24">
        <f t="shared" si="19"/>
        <v>126</v>
      </c>
      <c r="B178" s="25">
        <f t="shared" si="20"/>
        <v>14006.409688852549</v>
      </c>
      <c r="C178" s="37">
        <f t="shared" si="21"/>
        <v>25993.590311147567</v>
      </c>
      <c r="D178" s="27">
        <f t="shared" si="16"/>
        <v>40000.000000000116</v>
      </c>
      <c r="E178" s="38">
        <f t="shared" si="22"/>
        <v>2821657.987890882</v>
      </c>
      <c r="F178" s="39">
        <f t="shared" si="17"/>
        <v>3986396.4275548281</v>
      </c>
      <c r="G178" s="39">
        <f t="shared" si="18"/>
        <v>1053603.5724451854</v>
      </c>
      <c r="K178" s="8">
        <v>11</v>
      </c>
    </row>
    <row r="179" spans="1:11">
      <c r="A179" s="24">
        <f t="shared" si="19"/>
        <v>127</v>
      </c>
      <c r="B179" s="25">
        <f t="shared" si="20"/>
        <v>14134.801777667031</v>
      </c>
      <c r="C179" s="37">
        <f t="shared" si="21"/>
        <v>25865.198222333085</v>
      </c>
      <c r="D179" s="27">
        <f t="shared" si="16"/>
        <v>40000.000000000116</v>
      </c>
      <c r="E179" s="38">
        <f t="shared" si="22"/>
        <v>2807523.1861132151</v>
      </c>
      <c r="F179" s="39">
        <f t="shared" si="17"/>
        <v>4012261.6257771612</v>
      </c>
      <c r="G179" s="39">
        <f t="shared" si="18"/>
        <v>1067738.3742228525</v>
      </c>
      <c r="K179" s="8">
        <v>11</v>
      </c>
    </row>
    <row r="180" spans="1:11">
      <c r="A180" s="24">
        <f t="shared" si="19"/>
        <v>128</v>
      </c>
      <c r="B180" s="25">
        <f t="shared" si="20"/>
        <v>14264.370793962313</v>
      </c>
      <c r="C180" s="37">
        <f t="shared" si="21"/>
        <v>25735.629206037804</v>
      </c>
      <c r="D180" s="27">
        <f t="shared" si="16"/>
        <v>40000.000000000116</v>
      </c>
      <c r="E180" s="38">
        <f t="shared" si="22"/>
        <v>2793258.8153192527</v>
      </c>
      <c r="F180" s="39">
        <f t="shared" si="17"/>
        <v>4037997.2549831988</v>
      </c>
      <c r="G180" s="39">
        <f t="shared" si="18"/>
        <v>1082002.7450168149</v>
      </c>
      <c r="K180" s="8">
        <v>11</v>
      </c>
    </row>
    <row r="181" spans="1:11">
      <c r="A181" s="24">
        <f t="shared" si="19"/>
        <v>129</v>
      </c>
      <c r="B181" s="25">
        <f t="shared" si="20"/>
        <v>14395.127526240303</v>
      </c>
      <c r="C181" s="37">
        <f t="shared" si="21"/>
        <v>25604.872473759813</v>
      </c>
      <c r="D181" s="27">
        <f t="shared" ref="D181:D244" si="23">IF(A181&lt;=$C$6*12, $C$10, 0)</f>
        <v>40000.000000000116</v>
      </c>
      <c r="E181" s="38">
        <f t="shared" si="22"/>
        <v>2778863.6877930122</v>
      </c>
      <c r="F181" s="39">
        <f t="shared" si="17"/>
        <v>4063602.1274569589</v>
      </c>
      <c r="G181" s="39">
        <f t="shared" si="18"/>
        <v>1096397.8725430551</v>
      </c>
      <c r="K181" s="8">
        <v>11</v>
      </c>
    </row>
    <row r="182" spans="1:11">
      <c r="A182" s="24">
        <f t="shared" si="19"/>
        <v>130</v>
      </c>
      <c r="B182" s="25">
        <f t="shared" si="20"/>
        <v>14527.082861897503</v>
      </c>
      <c r="C182" s="37">
        <f t="shared" si="21"/>
        <v>25472.917138102614</v>
      </c>
      <c r="D182" s="27">
        <f t="shared" si="23"/>
        <v>40000.000000000116</v>
      </c>
      <c r="E182" s="38">
        <f t="shared" si="22"/>
        <v>2764336.6049311147</v>
      </c>
      <c r="F182" s="39">
        <f t="shared" ref="F182:F245" si="24">IF(A182&lt;=$C$6*12, F181+C182, 0)</f>
        <v>4089075.0445950613</v>
      </c>
      <c r="G182" s="39">
        <f t="shared" ref="G182:G245" si="25">IF(A182&lt;=$C$6*12, G181+B182, 0)</f>
        <v>1110924.9554049526</v>
      </c>
      <c r="K182" s="8">
        <v>11</v>
      </c>
    </row>
    <row r="183" spans="1:11">
      <c r="A183" s="24">
        <f t="shared" ref="A183:A246" si="26">A182+1</f>
        <v>131</v>
      </c>
      <c r="B183" s="25">
        <f t="shared" ref="B183:B246" si="27">IF(A182&lt;=$C$6*12,D183-C183,0)</f>
        <v>14660.247788131568</v>
      </c>
      <c r="C183" s="37">
        <f t="shared" ref="C183:C246" si="28">IF(A183&lt;=$C$6*12, E182*$C$5/12, 0)</f>
        <v>25339.752211868548</v>
      </c>
      <c r="D183" s="27">
        <f t="shared" si="23"/>
        <v>40000.000000000116</v>
      </c>
      <c r="E183" s="38">
        <f t="shared" ref="E183:E246" si="29">IF(A183&lt;=$C$6*12, E182-B183, 0)</f>
        <v>2749676.357142983</v>
      </c>
      <c r="F183" s="39">
        <f t="shared" si="24"/>
        <v>4114414.7968069301</v>
      </c>
      <c r="G183" s="39">
        <f t="shared" si="25"/>
        <v>1125585.2031930841</v>
      </c>
      <c r="K183" s="8">
        <v>11</v>
      </c>
    </row>
    <row r="184" spans="1:11">
      <c r="A184" s="24">
        <f t="shared" si="26"/>
        <v>132</v>
      </c>
      <c r="B184" s="25">
        <f t="shared" si="27"/>
        <v>14794.633392856107</v>
      </c>
      <c r="C184" s="37">
        <f t="shared" si="28"/>
        <v>25205.366607144009</v>
      </c>
      <c r="D184" s="27">
        <f t="shared" si="23"/>
        <v>40000.000000000116</v>
      </c>
      <c r="E184" s="38">
        <f t="shared" si="29"/>
        <v>2734881.723750127</v>
      </c>
      <c r="F184" s="39">
        <f t="shared" si="24"/>
        <v>4139620.1634140741</v>
      </c>
      <c r="G184" s="39">
        <f t="shared" si="25"/>
        <v>1140379.8365859403</v>
      </c>
      <c r="K184" s="8">
        <v>11</v>
      </c>
    </row>
    <row r="185" spans="1:11">
      <c r="A185" s="24">
        <f t="shared" si="26"/>
        <v>133</v>
      </c>
      <c r="B185" s="25">
        <f t="shared" si="27"/>
        <v>14930.250865623952</v>
      </c>
      <c r="C185" s="37">
        <f t="shared" si="28"/>
        <v>25069.749134376165</v>
      </c>
      <c r="D185" s="27">
        <f t="shared" si="23"/>
        <v>40000.000000000116</v>
      </c>
      <c r="E185" s="38">
        <f t="shared" si="29"/>
        <v>2719951.4728845032</v>
      </c>
      <c r="F185" s="39">
        <f t="shared" si="24"/>
        <v>4164689.9125484503</v>
      </c>
      <c r="G185" s="39">
        <f t="shared" si="25"/>
        <v>1155310.0874515644</v>
      </c>
      <c r="K185" s="8">
        <v>12</v>
      </c>
    </row>
    <row r="186" spans="1:11">
      <c r="A186" s="24">
        <f t="shared" si="26"/>
        <v>134</v>
      </c>
      <c r="B186" s="25">
        <f t="shared" si="27"/>
        <v>15067.111498558836</v>
      </c>
      <c r="C186" s="37">
        <f t="shared" si="28"/>
        <v>24932.888501441281</v>
      </c>
      <c r="D186" s="27">
        <f t="shared" si="23"/>
        <v>40000.000000000116</v>
      </c>
      <c r="E186" s="38">
        <f t="shared" si="29"/>
        <v>2704884.3613859443</v>
      </c>
      <c r="F186" s="39">
        <f t="shared" si="24"/>
        <v>4189622.8010498914</v>
      </c>
      <c r="G186" s="39">
        <f t="shared" si="25"/>
        <v>1170377.1989501233</v>
      </c>
      <c r="K186" s="8">
        <v>12</v>
      </c>
    </row>
    <row r="187" spans="1:11">
      <c r="A187" s="24">
        <f t="shared" si="26"/>
        <v>135</v>
      </c>
      <c r="B187" s="25">
        <f t="shared" si="27"/>
        <v>15205.226687295628</v>
      </c>
      <c r="C187" s="37">
        <f t="shared" si="28"/>
        <v>24794.773312704488</v>
      </c>
      <c r="D187" s="27">
        <f t="shared" si="23"/>
        <v>40000.000000000116</v>
      </c>
      <c r="E187" s="38">
        <f t="shared" si="29"/>
        <v>2689679.1346986485</v>
      </c>
      <c r="F187" s="39">
        <f t="shared" si="24"/>
        <v>4214417.5743625956</v>
      </c>
      <c r="G187" s="39">
        <f t="shared" si="25"/>
        <v>1185582.4256374189</v>
      </c>
      <c r="K187" s="8">
        <v>12</v>
      </c>
    </row>
    <row r="188" spans="1:11">
      <c r="A188" s="24">
        <f t="shared" si="26"/>
        <v>136</v>
      </c>
      <c r="B188" s="25">
        <f t="shared" si="27"/>
        <v>15344.607931929171</v>
      </c>
      <c r="C188" s="37">
        <f t="shared" si="28"/>
        <v>24655.392068070945</v>
      </c>
      <c r="D188" s="27">
        <f t="shared" si="23"/>
        <v>40000.000000000116</v>
      </c>
      <c r="E188" s="38">
        <f t="shared" si="29"/>
        <v>2674334.5267667193</v>
      </c>
      <c r="F188" s="39">
        <f t="shared" si="24"/>
        <v>4239072.9664306669</v>
      </c>
      <c r="G188" s="39">
        <f t="shared" si="25"/>
        <v>1200927.033569348</v>
      </c>
      <c r="K188" s="8">
        <v>12</v>
      </c>
    </row>
    <row r="189" spans="1:11">
      <c r="A189" s="24">
        <f t="shared" si="26"/>
        <v>137</v>
      </c>
      <c r="B189" s="25">
        <f t="shared" si="27"/>
        <v>15485.266837971856</v>
      </c>
      <c r="C189" s="37">
        <f t="shared" si="28"/>
        <v>24514.73316202826</v>
      </c>
      <c r="D189" s="27">
        <f t="shared" si="23"/>
        <v>40000.000000000116</v>
      </c>
      <c r="E189" s="38">
        <f t="shared" si="29"/>
        <v>2658849.2599287475</v>
      </c>
      <c r="F189" s="39">
        <f t="shared" si="24"/>
        <v>4263587.6995926956</v>
      </c>
      <c r="G189" s="39">
        <f t="shared" si="25"/>
        <v>1216412.3004073198</v>
      </c>
      <c r="K189" s="8">
        <v>12</v>
      </c>
    </row>
    <row r="190" spans="1:11">
      <c r="A190" s="24">
        <f t="shared" si="26"/>
        <v>138</v>
      </c>
      <c r="B190" s="25">
        <f t="shared" si="27"/>
        <v>15627.215117319927</v>
      </c>
      <c r="C190" s="37">
        <f t="shared" si="28"/>
        <v>24372.784882680189</v>
      </c>
      <c r="D190" s="27">
        <f t="shared" si="23"/>
        <v>40000.000000000116</v>
      </c>
      <c r="E190" s="38">
        <f t="shared" si="29"/>
        <v>2643222.0448114276</v>
      </c>
      <c r="F190" s="39">
        <f t="shared" si="24"/>
        <v>4287960.4844753761</v>
      </c>
      <c r="G190" s="39">
        <f t="shared" si="25"/>
        <v>1232039.5155246397</v>
      </c>
      <c r="K190" s="8">
        <v>12</v>
      </c>
    </row>
    <row r="191" spans="1:11">
      <c r="A191" s="24">
        <f t="shared" si="26"/>
        <v>139</v>
      </c>
      <c r="B191" s="25">
        <f t="shared" si="27"/>
        <v>15770.464589228697</v>
      </c>
      <c r="C191" s="37">
        <f t="shared" si="28"/>
        <v>24229.535410771419</v>
      </c>
      <c r="D191" s="27">
        <f t="shared" si="23"/>
        <v>40000.000000000116</v>
      </c>
      <c r="E191" s="38">
        <f t="shared" si="29"/>
        <v>2627451.5802221987</v>
      </c>
      <c r="F191" s="39">
        <f t="shared" si="24"/>
        <v>4312190.0198861472</v>
      </c>
      <c r="G191" s="39">
        <f t="shared" si="25"/>
        <v>1247809.9801138684</v>
      </c>
      <c r="K191" s="8">
        <v>12</v>
      </c>
    </row>
    <row r="192" spans="1:11">
      <c r="A192" s="24">
        <f t="shared" si="26"/>
        <v>140</v>
      </c>
      <c r="B192" s="25">
        <f t="shared" si="27"/>
        <v>15915.027181296628</v>
      </c>
      <c r="C192" s="37">
        <f t="shared" si="28"/>
        <v>24084.972818703489</v>
      </c>
      <c r="D192" s="27">
        <f t="shared" si="23"/>
        <v>40000.000000000116</v>
      </c>
      <c r="E192" s="38">
        <f t="shared" si="29"/>
        <v>2611536.5530409021</v>
      </c>
      <c r="F192" s="39">
        <f t="shared" si="24"/>
        <v>4336274.9927048506</v>
      </c>
      <c r="G192" s="39">
        <f t="shared" si="25"/>
        <v>1263725.007295165</v>
      </c>
      <c r="K192" s="8">
        <v>12</v>
      </c>
    </row>
    <row r="193" spans="1:11">
      <c r="A193" s="24">
        <f t="shared" si="26"/>
        <v>141</v>
      </c>
      <c r="B193" s="25">
        <f t="shared" si="27"/>
        <v>16060.914930458515</v>
      </c>
      <c r="C193" s="37">
        <f t="shared" si="28"/>
        <v>23939.085069541601</v>
      </c>
      <c r="D193" s="27">
        <f t="shared" si="23"/>
        <v>40000.000000000116</v>
      </c>
      <c r="E193" s="38">
        <f t="shared" si="29"/>
        <v>2595475.6381104435</v>
      </c>
      <c r="F193" s="39">
        <f t="shared" si="24"/>
        <v>4360214.0777743924</v>
      </c>
      <c r="G193" s="39">
        <f t="shared" si="25"/>
        <v>1279785.9222256234</v>
      </c>
      <c r="K193" s="8">
        <v>12</v>
      </c>
    </row>
    <row r="194" spans="1:11">
      <c r="A194" s="24">
        <f t="shared" si="26"/>
        <v>142</v>
      </c>
      <c r="B194" s="25">
        <f t="shared" si="27"/>
        <v>16208.139983987716</v>
      </c>
      <c r="C194" s="37">
        <f t="shared" si="28"/>
        <v>23791.860016012401</v>
      </c>
      <c r="D194" s="27">
        <f t="shared" si="23"/>
        <v>40000.000000000116</v>
      </c>
      <c r="E194" s="38">
        <f t="shared" si="29"/>
        <v>2579267.4981264556</v>
      </c>
      <c r="F194" s="39">
        <f t="shared" si="24"/>
        <v>4384005.937790405</v>
      </c>
      <c r="G194" s="39">
        <f t="shared" si="25"/>
        <v>1295994.0622096111</v>
      </c>
      <c r="K194" s="8">
        <v>12</v>
      </c>
    </row>
    <row r="195" spans="1:11">
      <c r="A195" s="24">
        <f t="shared" si="26"/>
        <v>143</v>
      </c>
      <c r="B195" s="25">
        <f t="shared" si="27"/>
        <v>16356.714600507607</v>
      </c>
      <c r="C195" s="37">
        <f t="shared" si="28"/>
        <v>23643.28539949251</v>
      </c>
      <c r="D195" s="27">
        <f t="shared" si="23"/>
        <v>40000.000000000116</v>
      </c>
      <c r="E195" s="38">
        <f t="shared" si="29"/>
        <v>2562910.7835259479</v>
      </c>
      <c r="F195" s="39">
        <f t="shared" si="24"/>
        <v>4407649.2231898978</v>
      </c>
      <c r="G195" s="39">
        <f t="shared" si="25"/>
        <v>1312350.7768101187</v>
      </c>
      <c r="K195" s="8">
        <v>12</v>
      </c>
    </row>
    <row r="196" spans="1:11">
      <c r="A196" s="24">
        <f t="shared" si="26"/>
        <v>144</v>
      </c>
      <c r="B196" s="25">
        <f t="shared" si="27"/>
        <v>16506.651151012262</v>
      </c>
      <c r="C196" s="37">
        <f t="shared" si="28"/>
        <v>23493.348848987855</v>
      </c>
      <c r="D196" s="27">
        <f t="shared" si="23"/>
        <v>40000.000000000116</v>
      </c>
      <c r="E196" s="38">
        <f t="shared" si="29"/>
        <v>2546404.1323749358</v>
      </c>
      <c r="F196" s="39">
        <f t="shared" si="24"/>
        <v>4431142.5720388861</v>
      </c>
      <c r="G196" s="39">
        <f t="shared" si="25"/>
        <v>1328857.4279611309</v>
      </c>
      <c r="K196" s="8">
        <v>12</v>
      </c>
    </row>
    <row r="197" spans="1:11">
      <c r="A197" s="24">
        <f t="shared" si="26"/>
        <v>145</v>
      </c>
      <c r="B197" s="25">
        <f t="shared" si="27"/>
        <v>16657.962119896536</v>
      </c>
      <c r="C197" s="37">
        <f t="shared" si="28"/>
        <v>23342.03788010358</v>
      </c>
      <c r="D197" s="27">
        <f t="shared" si="23"/>
        <v>40000.000000000116</v>
      </c>
      <c r="E197" s="38">
        <f t="shared" si="29"/>
        <v>2529746.1702550394</v>
      </c>
      <c r="F197" s="39">
        <f t="shared" si="24"/>
        <v>4454484.6099189902</v>
      </c>
      <c r="G197" s="39">
        <f t="shared" si="25"/>
        <v>1345515.3900810273</v>
      </c>
      <c r="K197" s="8">
        <v>13</v>
      </c>
    </row>
    <row r="198" spans="1:11">
      <c r="A198" s="24">
        <f t="shared" si="26"/>
        <v>146</v>
      </c>
      <c r="B198" s="25">
        <f t="shared" si="27"/>
        <v>16810.660105995586</v>
      </c>
      <c r="C198" s="37">
        <f t="shared" si="28"/>
        <v>23189.33989400453</v>
      </c>
      <c r="D198" s="27">
        <f t="shared" si="23"/>
        <v>40000.000000000116</v>
      </c>
      <c r="E198" s="38">
        <f t="shared" si="29"/>
        <v>2512935.510149044</v>
      </c>
      <c r="F198" s="39">
        <f t="shared" si="24"/>
        <v>4477673.9498129943</v>
      </c>
      <c r="G198" s="39">
        <f t="shared" si="25"/>
        <v>1362326.0501870229</v>
      </c>
      <c r="K198" s="8">
        <v>13</v>
      </c>
    </row>
    <row r="199" spans="1:11">
      <c r="A199" s="24">
        <f t="shared" si="26"/>
        <v>147</v>
      </c>
      <c r="B199" s="25">
        <f t="shared" si="27"/>
        <v>16964.757823633878</v>
      </c>
      <c r="C199" s="37">
        <f t="shared" si="28"/>
        <v>23035.242176366239</v>
      </c>
      <c r="D199" s="27">
        <f t="shared" si="23"/>
        <v>40000.000000000116</v>
      </c>
      <c r="E199" s="38">
        <f t="shared" si="29"/>
        <v>2495970.75232541</v>
      </c>
      <c r="F199" s="39">
        <f t="shared" si="24"/>
        <v>4500709.1919893604</v>
      </c>
      <c r="G199" s="39">
        <f t="shared" si="25"/>
        <v>1379290.8080106569</v>
      </c>
      <c r="K199" s="8">
        <v>13</v>
      </c>
    </row>
    <row r="200" spans="1:11">
      <c r="A200" s="24">
        <f t="shared" si="26"/>
        <v>148</v>
      </c>
      <c r="B200" s="25">
        <f t="shared" si="27"/>
        <v>17120.268103683858</v>
      </c>
      <c r="C200" s="37">
        <f t="shared" si="28"/>
        <v>22879.731896316258</v>
      </c>
      <c r="D200" s="27">
        <f t="shared" si="23"/>
        <v>40000.000000000116</v>
      </c>
      <c r="E200" s="38">
        <f t="shared" si="29"/>
        <v>2478850.4842217262</v>
      </c>
      <c r="F200" s="39">
        <f t="shared" si="24"/>
        <v>4523588.923885677</v>
      </c>
      <c r="G200" s="39">
        <f t="shared" si="25"/>
        <v>1396411.0761143407</v>
      </c>
      <c r="K200" s="8">
        <v>13</v>
      </c>
    </row>
    <row r="201" spans="1:11">
      <c r="A201" s="24">
        <f t="shared" si="26"/>
        <v>149</v>
      </c>
      <c r="B201" s="25">
        <f t="shared" si="27"/>
        <v>17277.203894634295</v>
      </c>
      <c r="C201" s="37">
        <f t="shared" si="28"/>
        <v>22722.796105365822</v>
      </c>
      <c r="D201" s="27">
        <f t="shared" si="23"/>
        <v>40000.000000000116</v>
      </c>
      <c r="E201" s="38">
        <f t="shared" si="29"/>
        <v>2461573.2803270919</v>
      </c>
      <c r="F201" s="39">
        <f t="shared" si="24"/>
        <v>4546311.7199910432</v>
      </c>
      <c r="G201" s="39">
        <f t="shared" si="25"/>
        <v>1413688.280008975</v>
      </c>
      <c r="K201" s="8">
        <v>13</v>
      </c>
    </row>
    <row r="202" spans="1:11">
      <c r="A202" s="24">
        <f t="shared" si="26"/>
        <v>150</v>
      </c>
      <c r="B202" s="25">
        <f t="shared" si="27"/>
        <v>17435.578263668442</v>
      </c>
      <c r="C202" s="37">
        <f t="shared" si="28"/>
        <v>22564.421736331675</v>
      </c>
      <c r="D202" s="27">
        <f t="shared" si="23"/>
        <v>40000.000000000116</v>
      </c>
      <c r="E202" s="38">
        <f t="shared" si="29"/>
        <v>2444137.7020634236</v>
      </c>
      <c r="F202" s="39">
        <f t="shared" si="24"/>
        <v>4568876.1417273749</v>
      </c>
      <c r="G202" s="39">
        <f t="shared" si="25"/>
        <v>1431123.8582726433</v>
      </c>
      <c r="K202" s="8">
        <v>13</v>
      </c>
    </row>
    <row r="203" spans="1:11">
      <c r="A203" s="24">
        <f t="shared" si="26"/>
        <v>151</v>
      </c>
      <c r="B203" s="25">
        <f t="shared" si="27"/>
        <v>17595.404397752067</v>
      </c>
      <c r="C203" s="37">
        <f t="shared" si="28"/>
        <v>22404.59560224805</v>
      </c>
      <c r="D203" s="27">
        <f t="shared" si="23"/>
        <v>40000.000000000116</v>
      </c>
      <c r="E203" s="38">
        <f t="shared" si="29"/>
        <v>2426542.2976656714</v>
      </c>
      <c r="F203" s="39">
        <f t="shared" si="24"/>
        <v>4591280.7373296227</v>
      </c>
      <c r="G203" s="39">
        <f t="shared" si="25"/>
        <v>1448719.2626703954</v>
      </c>
      <c r="K203" s="8">
        <v>13</v>
      </c>
    </row>
    <row r="204" spans="1:11">
      <c r="A204" s="24">
        <f t="shared" si="26"/>
        <v>152</v>
      </c>
      <c r="B204" s="25">
        <f t="shared" si="27"/>
        <v>17756.69560473146</v>
      </c>
      <c r="C204" s="37">
        <f t="shared" si="28"/>
        <v>22243.304395268657</v>
      </c>
      <c r="D204" s="27">
        <f t="shared" si="23"/>
        <v>40000.000000000116</v>
      </c>
      <c r="E204" s="38">
        <f t="shared" si="29"/>
        <v>2408785.6020609401</v>
      </c>
      <c r="F204" s="39">
        <f t="shared" si="24"/>
        <v>4613524.0417248914</v>
      </c>
      <c r="G204" s="39">
        <f t="shared" si="25"/>
        <v>1466475.958275127</v>
      </c>
      <c r="K204" s="8">
        <v>13</v>
      </c>
    </row>
    <row r="205" spans="1:11">
      <c r="A205" s="24">
        <f t="shared" si="26"/>
        <v>153</v>
      </c>
      <c r="B205" s="25">
        <f t="shared" si="27"/>
        <v>17919.465314441495</v>
      </c>
      <c r="C205" s="37">
        <f t="shared" si="28"/>
        <v>22080.534685558621</v>
      </c>
      <c r="D205" s="27">
        <f t="shared" si="23"/>
        <v>40000.000000000116</v>
      </c>
      <c r="E205" s="38">
        <f t="shared" si="29"/>
        <v>2390866.1367464988</v>
      </c>
      <c r="F205" s="39">
        <f t="shared" si="24"/>
        <v>4635604.57641045</v>
      </c>
      <c r="G205" s="39">
        <f t="shared" si="25"/>
        <v>1484395.4235895686</v>
      </c>
      <c r="K205" s="8">
        <v>13</v>
      </c>
    </row>
    <row r="206" spans="1:11">
      <c r="A206" s="24">
        <f t="shared" si="26"/>
        <v>154</v>
      </c>
      <c r="B206" s="25">
        <f t="shared" si="27"/>
        <v>18083.727079823879</v>
      </c>
      <c r="C206" s="37">
        <f t="shared" si="28"/>
        <v>21916.272920176238</v>
      </c>
      <c r="D206" s="27">
        <f t="shared" si="23"/>
        <v>40000.000000000116</v>
      </c>
      <c r="E206" s="38">
        <f t="shared" si="29"/>
        <v>2372782.4096666747</v>
      </c>
      <c r="F206" s="39">
        <f t="shared" si="24"/>
        <v>4657520.8493306264</v>
      </c>
      <c r="G206" s="39">
        <f t="shared" si="25"/>
        <v>1502479.1506693924</v>
      </c>
      <c r="K206" s="8">
        <v>13</v>
      </c>
    </row>
    <row r="207" spans="1:11">
      <c r="A207" s="24">
        <f t="shared" si="26"/>
        <v>155</v>
      </c>
      <c r="B207" s="25">
        <f t="shared" si="27"/>
        <v>18249.494578055597</v>
      </c>
      <c r="C207" s="37">
        <f t="shared" si="28"/>
        <v>21750.505421944519</v>
      </c>
      <c r="D207" s="27">
        <f t="shared" si="23"/>
        <v>40000.000000000116</v>
      </c>
      <c r="E207" s="38">
        <f t="shared" si="29"/>
        <v>2354532.9150886191</v>
      </c>
      <c r="F207" s="39">
        <f t="shared" si="24"/>
        <v>4679271.3547525713</v>
      </c>
      <c r="G207" s="39">
        <f t="shared" si="25"/>
        <v>1520728.645247448</v>
      </c>
      <c r="K207" s="8">
        <v>13</v>
      </c>
    </row>
    <row r="208" spans="1:11">
      <c r="A208" s="24">
        <f t="shared" si="26"/>
        <v>156</v>
      </c>
      <c r="B208" s="25">
        <f t="shared" si="27"/>
        <v>18416.781611687777</v>
      </c>
      <c r="C208" s="37">
        <f t="shared" si="28"/>
        <v>21583.21838831234</v>
      </c>
      <c r="D208" s="27">
        <f t="shared" si="23"/>
        <v>40000.000000000116</v>
      </c>
      <c r="E208" s="38">
        <f t="shared" si="29"/>
        <v>2336116.1334769311</v>
      </c>
      <c r="F208" s="39">
        <f t="shared" si="24"/>
        <v>4700854.5731408838</v>
      </c>
      <c r="G208" s="39">
        <f t="shared" si="25"/>
        <v>1539145.4268591357</v>
      </c>
      <c r="K208" s="8">
        <v>13</v>
      </c>
    </row>
    <row r="209" spans="1:11">
      <c r="A209" s="24">
        <f t="shared" si="26"/>
        <v>157</v>
      </c>
      <c r="B209" s="25">
        <f t="shared" si="27"/>
        <v>18585.602109794916</v>
      </c>
      <c r="C209" s="37">
        <f t="shared" si="28"/>
        <v>21414.3978902052</v>
      </c>
      <c r="D209" s="27">
        <f t="shared" si="23"/>
        <v>40000.000000000116</v>
      </c>
      <c r="E209" s="38">
        <f t="shared" si="29"/>
        <v>2317530.5313671362</v>
      </c>
      <c r="F209" s="39">
        <f t="shared" si="24"/>
        <v>4722268.9710310893</v>
      </c>
      <c r="G209" s="39">
        <f t="shared" si="25"/>
        <v>1557731.0289689307</v>
      </c>
      <c r="K209" s="8">
        <v>14</v>
      </c>
    </row>
    <row r="210" spans="1:11">
      <c r="A210" s="24">
        <f t="shared" si="26"/>
        <v>158</v>
      </c>
      <c r="B210" s="25">
        <f t="shared" si="27"/>
        <v>18755.970129134701</v>
      </c>
      <c r="C210" s="37">
        <f t="shared" si="28"/>
        <v>21244.029870865415</v>
      </c>
      <c r="D210" s="27">
        <f t="shared" si="23"/>
        <v>40000.000000000116</v>
      </c>
      <c r="E210" s="38">
        <f t="shared" si="29"/>
        <v>2298774.5612380016</v>
      </c>
      <c r="F210" s="39">
        <f t="shared" si="24"/>
        <v>4743513.0009019552</v>
      </c>
      <c r="G210" s="39">
        <f t="shared" si="25"/>
        <v>1576486.9990980653</v>
      </c>
      <c r="K210" s="8">
        <v>14</v>
      </c>
    </row>
    <row r="211" spans="1:11">
      <c r="A211" s="24">
        <f t="shared" si="26"/>
        <v>159</v>
      </c>
      <c r="B211" s="25">
        <f t="shared" si="27"/>
        <v>18927.899855318436</v>
      </c>
      <c r="C211" s="37">
        <f t="shared" si="28"/>
        <v>21072.100144681681</v>
      </c>
      <c r="D211" s="27">
        <f t="shared" si="23"/>
        <v>40000.000000000116</v>
      </c>
      <c r="E211" s="38">
        <f t="shared" si="29"/>
        <v>2279846.6613826831</v>
      </c>
      <c r="F211" s="39">
        <f t="shared" si="24"/>
        <v>4764585.1010466367</v>
      </c>
      <c r="G211" s="39">
        <f t="shared" si="25"/>
        <v>1595414.8989533838</v>
      </c>
      <c r="K211" s="8">
        <v>14</v>
      </c>
    </row>
    <row r="212" spans="1:11">
      <c r="A212" s="24">
        <f t="shared" si="26"/>
        <v>160</v>
      </c>
      <c r="B212" s="25">
        <f t="shared" si="27"/>
        <v>19101.405603992189</v>
      </c>
      <c r="C212" s="37">
        <f t="shared" si="28"/>
        <v>20898.594396007928</v>
      </c>
      <c r="D212" s="27">
        <f t="shared" si="23"/>
        <v>40000.000000000116</v>
      </c>
      <c r="E212" s="38">
        <f t="shared" si="29"/>
        <v>2260745.2557786908</v>
      </c>
      <c r="F212" s="39">
        <f t="shared" si="24"/>
        <v>4785483.6954426449</v>
      </c>
      <c r="G212" s="39">
        <f t="shared" si="25"/>
        <v>1614516.3045573761</v>
      </c>
      <c r="K212" s="8">
        <v>14</v>
      </c>
    </row>
    <row r="213" spans="1:11">
      <c r="A213" s="24">
        <f t="shared" si="26"/>
        <v>161</v>
      </c>
      <c r="B213" s="25">
        <f t="shared" si="27"/>
        <v>19276.501822028786</v>
      </c>
      <c r="C213" s="37">
        <f t="shared" si="28"/>
        <v>20723.498177971331</v>
      </c>
      <c r="D213" s="27">
        <f t="shared" si="23"/>
        <v>40000.000000000116</v>
      </c>
      <c r="E213" s="38">
        <f t="shared" si="29"/>
        <v>2241468.753956662</v>
      </c>
      <c r="F213" s="39">
        <f t="shared" si="24"/>
        <v>4806207.1936206166</v>
      </c>
      <c r="G213" s="39">
        <f t="shared" si="25"/>
        <v>1633792.8063794049</v>
      </c>
      <c r="K213" s="8">
        <v>14</v>
      </c>
    </row>
    <row r="214" spans="1:11">
      <c r="A214" s="24">
        <f t="shared" si="26"/>
        <v>162</v>
      </c>
      <c r="B214" s="25">
        <f t="shared" si="27"/>
        <v>19453.203088730716</v>
      </c>
      <c r="C214" s="37">
        <f t="shared" si="28"/>
        <v>20546.796911269401</v>
      </c>
      <c r="D214" s="27">
        <f t="shared" si="23"/>
        <v>40000.000000000116</v>
      </c>
      <c r="E214" s="38">
        <f t="shared" si="29"/>
        <v>2222015.5508679315</v>
      </c>
      <c r="F214" s="39">
        <f t="shared" si="24"/>
        <v>4826753.990531886</v>
      </c>
      <c r="G214" s="39">
        <f t="shared" si="25"/>
        <v>1653246.0094681357</v>
      </c>
      <c r="K214" s="8">
        <v>14</v>
      </c>
    </row>
    <row r="215" spans="1:11">
      <c r="A215" s="24">
        <f t="shared" si="26"/>
        <v>163</v>
      </c>
      <c r="B215" s="25">
        <f t="shared" si="27"/>
        <v>19631.524117044079</v>
      </c>
      <c r="C215" s="37">
        <f t="shared" si="28"/>
        <v>20368.475882956038</v>
      </c>
      <c r="D215" s="27">
        <f t="shared" si="23"/>
        <v>40000.000000000116</v>
      </c>
      <c r="E215" s="38">
        <f t="shared" si="29"/>
        <v>2202384.0267508873</v>
      </c>
      <c r="F215" s="39">
        <f t="shared" si="24"/>
        <v>4847122.4664148418</v>
      </c>
      <c r="G215" s="39">
        <f t="shared" si="25"/>
        <v>1672877.5335851798</v>
      </c>
      <c r="K215" s="8">
        <v>14</v>
      </c>
    </row>
    <row r="216" spans="1:11">
      <c r="A216" s="24">
        <f t="shared" si="26"/>
        <v>164</v>
      </c>
      <c r="B216" s="25">
        <f t="shared" si="27"/>
        <v>19811.47975478365</v>
      </c>
      <c r="C216" s="37">
        <f t="shared" si="28"/>
        <v>20188.520245216467</v>
      </c>
      <c r="D216" s="27">
        <f t="shared" si="23"/>
        <v>40000.000000000116</v>
      </c>
      <c r="E216" s="38">
        <f t="shared" si="29"/>
        <v>2182572.5469961036</v>
      </c>
      <c r="F216" s="39">
        <f t="shared" si="24"/>
        <v>4867310.9866600586</v>
      </c>
      <c r="G216" s="39">
        <f t="shared" si="25"/>
        <v>1692689.0133399635</v>
      </c>
      <c r="K216" s="8">
        <v>14</v>
      </c>
    </row>
    <row r="217" spans="1:11">
      <c r="A217" s="24">
        <f t="shared" si="26"/>
        <v>165</v>
      </c>
      <c r="B217" s="25">
        <f t="shared" si="27"/>
        <v>19993.084985869169</v>
      </c>
      <c r="C217" s="37">
        <f t="shared" si="28"/>
        <v>20006.915014130947</v>
      </c>
      <c r="D217" s="27">
        <f t="shared" si="23"/>
        <v>40000.000000000116</v>
      </c>
      <c r="E217" s="38">
        <f t="shared" si="29"/>
        <v>2162579.4620102346</v>
      </c>
      <c r="F217" s="39">
        <f t="shared" si="24"/>
        <v>4887317.9016741896</v>
      </c>
      <c r="G217" s="39">
        <f t="shared" si="25"/>
        <v>1712682.0983258327</v>
      </c>
      <c r="K217" s="8">
        <v>14</v>
      </c>
    </row>
    <row r="218" spans="1:11">
      <c r="A218" s="24">
        <f t="shared" si="26"/>
        <v>166</v>
      </c>
      <c r="B218" s="25">
        <f t="shared" si="27"/>
        <v>20176.354931572965</v>
      </c>
      <c r="C218" s="37">
        <f t="shared" si="28"/>
        <v>19823.645068427151</v>
      </c>
      <c r="D218" s="27">
        <f t="shared" si="23"/>
        <v>40000.000000000116</v>
      </c>
      <c r="E218" s="38">
        <f t="shared" si="29"/>
        <v>2142403.1070786617</v>
      </c>
      <c r="F218" s="39">
        <f t="shared" si="24"/>
        <v>4907141.5467426172</v>
      </c>
      <c r="G218" s="39">
        <f t="shared" si="25"/>
        <v>1732858.4532574057</v>
      </c>
      <c r="K218" s="8">
        <v>14</v>
      </c>
    </row>
    <row r="219" spans="1:11">
      <c r="A219" s="24">
        <f t="shared" si="26"/>
        <v>167</v>
      </c>
      <c r="B219" s="25">
        <f t="shared" si="27"/>
        <v>20361.304851779052</v>
      </c>
      <c r="C219" s="37">
        <f t="shared" si="28"/>
        <v>19638.695148221064</v>
      </c>
      <c r="D219" s="27">
        <f t="shared" si="23"/>
        <v>40000.000000000116</v>
      </c>
      <c r="E219" s="38">
        <f t="shared" si="29"/>
        <v>2122041.8022268824</v>
      </c>
      <c r="F219" s="39">
        <f t="shared" si="24"/>
        <v>4926780.2418908384</v>
      </c>
      <c r="G219" s="39">
        <f t="shared" si="25"/>
        <v>1753219.7581091847</v>
      </c>
      <c r="K219" s="8">
        <v>14</v>
      </c>
    </row>
    <row r="220" spans="1:11">
      <c r="A220" s="24">
        <f t="shared" si="26"/>
        <v>168</v>
      </c>
      <c r="B220" s="25">
        <f t="shared" si="27"/>
        <v>20547.950146253694</v>
      </c>
      <c r="C220" s="37">
        <f t="shared" si="28"/>
        <v>19452.049853746423</v>
      </c>
      <c r="D220" s="27">
        <f t="shared" si="23"/>
        <v>40000.000000000116</v>
      </c>
      <c r="E220" s="38">
        <f t="shared" si="29"/>
        <v>2101493.8520806287</v>
      </c>
      <c r="F220" s="39">
        <f t="shared" si="24"/>
        <v>4946232.2917445851</v>
      </c>
      <c r="G220" s="39">
        <f t="shared" si="25"/>
        <v>1773767.7082554384</v>
      </c>
      <c r="K220" s="8">
        <v>14</v>
      </c>
    </row>
    <row r="221" spans="1:11">
      <c r="A221" s="24">
        <f t="shared" si="26"/>
        <v>169</v>
      </c>
      <c r="B221" s="25">
        <f t="shared" si="27"/>
        <v>20736.306355927685</v>
      </c>
      <c r="C221" s="37">
        <f t="shared" si="28"/>
        <v>19263.693644072431</v>
      </c>
      <c r="D221" s="27">
        <f t="shared" si="23"/>
        <v>40000.000000000116</v>
      </c>
      <c r="E221" s="38">
        <f t="shared" si="29"/>
        <v>2080757.5457247011</v>
      </c>
      <c r="F221" s="39">
        <f t="shared" si="24"/>
        <v>4965495.985388658</v>
      </c>
      <c r="G221" s="39">
        <f t="shared" si="25"/>
        <v>1794504.014611366</v>
      </c>
      <c r="K221" s="8">
        <v>15</v>
      </c>
    </row>
    <row r="222" spans="1:11">
      <c r="A222" s="24">
        <f t="shared" si="26"/>
        <v>170</v>
      </c>
      <c r="B222" s="25">
        <f t="shared" si="27"/>
        <v>20926.389164190357</v>
      </c>
      <c r="C222" s="37">
        <f t="shared" si="28"/>
        <v>19073.610835809759</v>
      </c>
      <c r="D222" s="27">
        <f t="shared" si="23"/>
        <v>40000.000000000116</v>
      </c>
      <c r="E222" s="38">
        <f t="shared" si="29"/>
        <v>2059831.1565605109</v>
      </c>
      <c r="F222" s="39">
        <f t="shared" si="24"/>
        <v>4984569.5962244682</v>
      </c>
      <c r="G222" s="39">
        <f t="shared" si="25"/>
        <v>1815430.4037755562</v>
      </c>
      <c r="K222" s="8">
        <v>15</v>
      </c>
    </row>
    <row r="223" spans="1:11">
      <c r="A223" s="24">
        <f t="shared" si="26"/>
        <v>171</v>
      </c>
      <c r="B223" s="25">
        <f t="shared" si="27"/>
        <v>21118.214398195432</v>
      </c>
      <c r="C223" s="37">
        <f t="shared" si="28"/>
        <v>18881.785601804684</v>
      </c>
      <c r="D223" s="27">
        <f t="shared" si="23"/>
        <v>40000.000000000116</v>
      </c>
      <c r="E223" s="38">
        <f t="shared" si="29"/>
        <v>2038712.9421623154</v>
      </c>
      <c r="F223" s="39">
        <f t="shared" si="24"/>
        <v>5003451.3818262732</v>
      </c>
      <c r="G223" s="39">
        <f t="shared" si="25"/>
        <v>1836548.6181737517</v>
      </c>
      <c r="K223" s="8">
        <v>15</v>
      </c>
    </row>
    <row r="224" spans="1:11">
      <c r="A224" s="24">
        <f t="shared" si="26"/>
        <v>172</v>
      </c>
      <c r="B224" s="25">
        <f t="shared" si="27"/>
        <v>21311.798030178892</v>
      </c>
      <c r="C224" s="37">
        <f t="shared" si="28"/>
        <v>18688.201969821224</v>
      </c>
      <c r="D224" s="27">
        <f t="shared" si="23"/>
        <v>40000.000000000116</v>
      </c>
      <c r="E224" s="38">
        <f t="shared" si="29"/>
        <v>2017401.1441321364</v>
      </c>
      <c r="F224" s="39">
        <f t="shared" si="24"/>
        <v>5022139.5837960942</v>
      </c>
      <c r="G224" s="39">
        <f t="shared" si="25"/>
        <v>1857860.4162039307</v>
      </c>
      <c r="K224" s="8">
        <v>15</v>
      </c>
    </row>
    <row r="225" spans="1:11">
      <c r="A225" s="24">
        <f t="shared" si="26"/>
        <v>173</v>
      </c>
      <c r="B225" s="25">
        <f t="shared" si="27"/>
        <v>21507.156178788868</v>
      </c>
      <c r="C225" s="37">
        <f t="shared" si="28"/>
        <v>18492.843821211249</v>
      </c>
      <c r="D225" s="27">
        <f t="shared" si="23"/>
        <v>40000.000000000116</v>
      </c>
      <c r="E225" s="38">
        <f t="shared" si="29"/>
        <v>1995893.9879533474</v>
      </c>
      <c r="F225" s="39">
        <f t="shared" si="24"/>
        <v>5040632.427617305</v>
      </c>
      <c r="G225" s="39">
        <f t="shared" si="25"/>
        <v>1879367.5723827197</v>
      </c>
      <c r="K225" s="8">
        <v>15</v>
      </c>
    </row>
    <row r="226" spans="1:11">
      <c r="A226" s="24">
        <f t="shared" si="26"/>
        <v>174</v>
      </c>
      <c r="B226" s="25">
        <f t="shared" si="27"/>
        <v>21704.305110427766</v>
      </c>
      <c r="C226" s="37">
        <f t="shared" si="28"/>
        <v>18295.694889572351</v>
      </c>
      <c r="D226" s="27">
        <f t="shared" si="23"/>
        <v>40000.000000000116</v>
      </c>
      <c r="E226" s="38">
        <f t="shared" si="29"/>
        <v>1974189.6828429196</v>
      </c>
      <c r="F226" s="39">
        <f t="shared" si="24"/>
        <v>5058928.1225068774</v>
      </c>
      <c r="G226" s="39">
        <f t="shared" si="25"/>
        <v>1901071.8774931475</v>
      </c>
      <c r="K226" s="8">
        <v>15</v>
      </c>
    </row>
    <row r="227" spans="1:11">
      <c r="A227" s="24">
        <f t="shared" si="26"/>
        <v>175</v>
      </c>
      <c r="B227" s="25">
        <f t="shared" si="27"/>
        <v>21903.261240606687</v>
      </c>
      <c r="C227" s="37">
        <f t="shared" si="28"/>
        <v>18096.738759393429</v>
      </c>
      <c r="D227" s="27">
        <f t="shared" si="23"/>
        <v>40000.000000000116</v>
      </c>
      <c r="E227" s="38">
        <f t="shared" si="29"/>
        <v>1952286.4216023129</v>
      </c>
      <c r="F227" s="39">
        <f t="shared" si="24"/>
        <v>5077024.8612662712</v>
      </c>
      <c r="G227" s="39">
        <f t="shared" si="25"/>
        <v>1922975.1387337542</v>
      </c>
      <c r="K227" s="8">
        <v>15</v>
      </c>
    </row>
    <row r="228" spans="1:11">
      <c r="A228" s="24">
        <f t="shared" si="26"/>
        <v>176</v>
      </c>
      <c r="B228" s="25">
        <f t="shared" si="27"/>
        <v>22104.041135312247</v>
      </c>
      <c r="C228" s="37">
        <f t="shared" si="28"/>
        <v>17895.958864687869</v>
      </c>
      <c r="D228" s="27">
        <f t="shared" si="23"/>
        <v>40000.000000000116</v>
      </c>
      <c r="E228" s="38">
        <f t="shared" si="29"/>
        <v>1930182.3804670007</v>
      </c>
      <c r="F228" s="39">
        <f t="shared" si="24"/>
        <v>5094920.8201309592</v>
      </c>
      <c r="G228" s="39">
        <f t="shared" si="25"/>
        <v>1945079.1798690665</v>
      </c>
      <c r="K228" s="8">
        <v>15</v>
      </c>
    </row>
    <row r="229" spans="1:11">
      <c r="A229" s="24">
        <f t="shared" si="26"/>
        <v>177</v>
      </c>
      <c r="B229" s="25">
        <f t="shared" si="27"/>
        <v>22306.661512385945</v>
      </c>
      <c r="C229" s="37">
        <f t="shared" si="28"/>
        <v>17693.338487614172</v>
      </c>
      <c r="D229" s="27">
        <f t="shared" si="23"/>
        <v>40000.000000000116</v>
      </c>
      <c r="E229" s="38">
        <f t="shared" si="29"/>
        <v>1907875.7189546146</v>
      </c>
      <c r="F229" s="39">
        <f t="shared" si="24"/>
        <v>5112614.1586185731</v>
      </c>
      <c r="G229" s="39">
        <f t="shared" si="25"/>
        <v>1967385.8413814525</v>
      </c>
      <c r="K229" s="8">
        <v>15</v>
      </c>
    </row>
    <row r="230" spans="1:11">
      <c r="A230" s="24">
        <f t="shared" si="26"/>
        <v>178</v>
      </c>
      <c r="B230" s="25">
        <f t="shared" si="27"/>
        <v>22511.13924291615</v>
      </c>
      <c r="C230" s="37">
        <f t="shared" si="28"/>
        <v>17488.860757083967</v>
      </c>
      <c r="D230" s="27">
        <f t="shared" si="23"/>
        <v>40000.000000000116</v>
      </c>
      <c r="E230" s="38">
        <f t="shared" si="29"/>
        <v>1885364.5797116985</v>
      </c>
      <c r="F230" s="39">
        <f t="shared" si="24"/>
        <v>5130103.0193756567</v>
      </c>
      <c r="G230" s="39">
        <f t="shared" si="25"/>
        <v>1989896.9806243686</v>
      </c>
      <c r="K230" s="8">
        <v>15</v>
      </c>
    </row>
    <row r="231" spans="1:11">
      <c r="A231" s="24">
        <f t="shared" si="26"/>
        <v>179</v>
      </c>
      <c r="B231" s="25">
        <f t="shared" si="27"/>
        <v>22717.491352642883</v>
      </c>
      <c r="C231" s="37">
        <f t="shared" si="28"/>
        <v>17282.508647357234</v>
      </c>
      <c r="D231" s="27">
        <f t="shared" si="23"/>
        <v>40000.000000000116</v>
      </c>
      <c r="E231" s="38">
        <f t="shared" si="29"/>
        <v>1862647.0883590556</v>
      </c>
      <c r="F231" s="39">
        <f t="shared" si="24"/>
        <v>5147385.5280230138</v>
      </c>
      <c r="G231" s="39">
        <f t="shared" si="25"/>
        <v>2012614.4719770115</v>
      </c>
      <c r="K231" s="8">
        <v>15</v>
      </c>
    </row>
    <row r="232" spans="1:11">
      <c r="A232" s="24">
        <f t="shared" si="26"/>
        <v>180</v>
      </c>
      <c r="B232" s="25">
        <f t="shared" si="27"/>
        <v>22925.735023375441</v>
      </c>
      <c r="C232" s="37">
        <f t="shared" si="28"/>
        <v>17074.264976624676</v>
      </c>
      <c r="D232" s="27">
        <f t="shared" si="23"/>
        <v>40000.000000000116</v>
      </c>
      <c r="E232" s="38">
        <f t="shared" si="29"/>
        <v>1839721.3533356802</v>
      </c>
      <c r="F232" s="39">
        <f t="shared" si="24"/>
        <v>5164459.7929996382</v>
      </c>
      <c r="G232" s="39">
        <f t="shared" si="25"/>
        <v>2035540.2070003869</v>
      </c>
      <c r="K232" s="8">
        <v>15</v>
      </c>
    </row>
    <row r="233" spans="1:11">
      <c r="A233" s="24">
        <f t="shared" si="26"/>
        <v>181</v>
      </c>
      <c r="B233" s="25">
        <f t="shared" si="27"/>
        <v>23135.887594423049</v>
      </c>
      <c r="C233" s="37">
        <f t="shared" si="28"/>
        <v>16864.112405577067</v>
      </c>
      <c r="D233" s="27">
        <f t="shared" si="23"/>
        <v>40000.000000000116</v>
      </c>
      <c r="E233" s="38">
        <f t="shared" si="29"/>
        <v>1816585.4657412572</v>
      </c>
      <c r="F233" s="39">
        <f t="shared" si="24"/>
        <v>5181323.905405215</v>
      </c>
      <c r="G233" s="39">
        <f t="shared" si="25"/>
        <v>2058676.0945948099</v>
      </c>
      <c r="K233" s="8">
        <v>16</v>
      </c>
    </row>
    <row r="234" spans="1:11">
      <c r="A234" s="24">
        <f t="shared" si="26"/>
        <v>182</v>
      </c>
      <c r="B234" s="25">
        <f t="shared" si="27"/>
        <v>23347.96656403859</v>
      </c>
      <c r="C234" s="37">
        <f t="shared" si="28"/>
        <v>16652.033435961526</v>
      </c>
      <c r="D234" s="27">
        <f t="shared" si="23"/>
        <v>40000.000000000116</v>
      </c>
      <c r="E234" s="38">
        <f t="shared" si="29"/>
        <v>1793237.4991772186</v>
      </c>
      <c r="F234" s="39">
        <f t="shared" si="24"/>
        <v>5197975.9388411762</v>
      </c>
      <c r="G234" s="39">
        <f t="shared" si="25"/>
        <v>2082024.0611588485</v>
      </c>
      <c r="K234" s="8">
        <v>16</v>
      </c>
    </row>
    <row r="235" spans="1:11">
      <c r="A235" s="24">
        <f t="shared" si="26"/>
        <v>183</v>
      </c>
      <c r="B235" s="25">
        <f t="shared" si="27"/>
        <v>23561.989590875612</v>
      </c>
      <c r="C235" s="37">
        <f t="shared" si="28"/>
        <v>16438.010409124505</v>
      </c>
      <c r="D235" s="27">
        <f t="shared" si="23"/>
        <v>40000.000000000116</v>
      </c>
      <c r="E235" s="38">
        <f t="shared" si="29"/>
        <v>1769675.5095863431</v>
      </c>
      <c r="F235" s="39">
        <f t="shared" si="24"/>
        <v>5214413.9492503004</v>
      </c>
      <c r="G235" s="39">
        <f t="shared" si="25"/>
        <v>2105586.0507497243</v>
      </c>
      <c r="K235" s="8">
        <v>16</v>
      </c>
    </row>
    <row r="236" spans="1:11">
      <c r="A236" s="24">
        <f t="shared" si="26"/>
        <v>184</v>
      </c>
      <c r="B236" s="25">
        <f t="shared" si="27"/>
        <v>23777.974495458635</v>
      </c>
      <c r="C236" s="37">
        <f t="shared" si="28"/>
        <v>16222.02550454148</v>
      </c>
      <c r="D236" s="27">
        <f t="shared" si="23"/>
        <v>40000.000000000116</v>
      </c>
      <c r="E236" s="38">
        <f t="shared" si="29"/>
        <v>1745897.5350908844</v>
      </c>
      <c r="F236" s="39">
        <f t="shared" si="24"/>
        <v>5230635.974754842</v>
      </c>
      <c r="G236" s="39">
        <f t="shared" si="25"/>
        <v>2129364.0252451827</v>
      </c>
      <c r="K236" s="8">
        <v>16</v>
      </c>
    </row>
    <row r="237" spans="1:11">
      <c r="A237" s="24">
        <f t="shared" si="26"/>
        <v>185</v>
      </c>
      <c r="B237" s="25">
        <f t="shared" si="27"/>
        <v>23995.939261667008</v>
      </c>
      <c r="C237" s="37">
        <f t="shared" si="28"/>
        <v>16004.060738333108</v>
      </c>
      <c r="D237" s="27">
        <f t="shared" si="23"/>
        <v>40000.000000000116</v>
      </c>
      <c r="E237" s="38">
        <f t="shared" si="29"/>
        <v>1721901.5958292175</v>
      </c>
      <c r="F237" s="39">
        <f t="shared" si="24"/>
        <v>5246640.0354931755</v>
      </c>
      <c r="G237" s="39">
        <f t="shared" si="25"/>
        <v>2153359.9645068496</v>
      </c>
      <c r="K237" s="8">
        <v>16</v>
      </c>
    </row>
    <row r="238" spans="1:11">
      <c r="A238" s="24">
        <f t="shared" si="26"/>
        <v>186</v>
      </c>
      <c r="B238" s="25">
        <f t="shared" si="27"/>
        <v>24215.902038232292</v>
      </c>
      <c r="C238" s="37">
        <f t="shared" si="28"/>
        <v>15784.097961767826</v>
      </c>
      <c r="D238" s="27">
        <f t="shared" si="23"/>
        <v>40000.000000000116</v>
      </c>
      <c r="E238" s="38">
        <f t="shared" si="29"/>
        <v>1697685.6937909853</v>
      </c>
      <c r="F238" s="39">
        <f t="shared" si="24"/>
        <v>5262424.1334549431</v>
      </c>
      <c r="G238" s="39">
        <f t="shared" si="25"/>
        <v>2177575.8665450821</v>
      </c>
      <c r="K238" s="8">
        <v>16</v>
      </c>
    </row>
    <row r="239" spans="1:11">
      <c r="A239" s="24">
        <f t="shared" si="26"/>
        <v>187</v>
      </c>
      <c r="B239" s="25">
        <f t="shared" si="27"/>
        <v>24437.881140249418</v>
      </c>
      <c r="C239" s="37">
        <f t="shared" si="28"/>
        <v>15562.118859750699</v>
      </c>
      <c r="D239" s="27">
        <f t="shared" si="23"/>
        <v>40000.000000000116</v>
      </c>
      <c r="E239" s="38">
        <f t="shared" si="29"/>
        <v>1673247.812650736</v>
      </c>
      <c r="F239" s="39">
        <f t="shared" si="24"/>
        <v>5277986.2523146942</v>
      </c>
      <c r="G239" s="39">
        <f t="shared" si="25"/>
        <v>2202013.7476853314</v>
      </c>
      <c r="K239" s="8">
        <v>16</v>
      </c>
    </row>
    <row r="240" spans="1:11">
      <c r="A240" s="24">
        <f t="shared" si="26"/>
        <v>188</v>
      </c>
      <c r="B240" s="25">
        <f t="shared" si="27"/>
        <v>24661.8950507017</v>
      </c>
      <c r="C240" s="37">
        <f t="shared" si="28"/>
        <v>15338.104949298415</v>
      </c>
      <c r="D240" s="27">
        <f t="shared" si="23"/>
        <v>40000.000000000116</v>
      </c>
      <c r="E240" s="38">
        <f t="shared" si="29"/>
        <v>1648585.9176000343</v>
      </c>
      <c r="F240" s="39">
        <f t="shared" si="24"/>
        <v>5293324.3572639925</v>
      </c>
      <c r="G240" s="39">
        <f t="shared" si="25"/>
        <v>2226675.6427360331</v>
      </c>
      <c r="K240" s="8">
        <v>16</v>
      </c>
    </row>
    <row r="241" spans="1:11">
      <c r="A241" s="24">
        <f t="shared" si="26"/>
        <v>189</v>
      </c>
      <c r="B241" s="25">
        <f t="shared" si="27"/>
        <v>24887.9624219998</v>
      </c>
      <c r="C241" s="37">
        <f t="shared" si="28"/>
        <v>15112.037578000314</v>
      </c>
      <c r="D241" s="27">
        <f t="shared" si="23"/>
        <v>40000.000000000116</v>
      </c>
      <c r="E241" s="38">
        <f t="shared" si="29"/>
        <v>1623697.9551780345</v>
      </c>
      <c r="F241" s="39">
        <f t="shared" si="24"/>
        <v>5308436.3948419932</v>
      </c>
      <c r="G241" s="39">
        <f t="shared" si="25"/>
        <v>2251563.6051580328</v>
      </c>
      <c r="K241" s="8">
        <v>16</v>
      </c>
    </row>
    <row r="242" spans="1:11">
      <c r="A242" s="24">
        <f t="shared" si="26"/>
        <v>190</v>
      </c>
      <c r="B242" s="25">
        <f t="shared" si="27"/>
        <v>25116.102077534801</v>
      </c>
      <c r="C242" s="37">
        <f t="shared" si="28"/>
        <v>14883.897922465316</v>
      </c>
      <c r="D242" s="27">
        <f t="shared" si="23"/>
        <v>40000.000000000116</v>
      </c>
      <c r="E242" s="38">
        <f t="shared" si="29"/>
        <v>1598581.8531004996</v>
      </c>
      <c r="F242" s="39">
        <f t="shared" si="24"/>
        <v>5323320.2927644588</v>
      </c>
      <c r="G242" s="39">
        <f t="shared" si="25"/>
        <v>2276679.7072355677</v>
      </c>
      <c r="K242" s="8">
        <v>16</v>
      </c>
    </row>
    <row r="243" spans="1:11">
      <c r="A243" s="24">
        <f t="shared" si="26"/>
        <v>191</v>
      </c>
      <c r="B243" s="25">
        <f t="shared" si="27"/>
        <v>25346.333013245538</v>
      </c>
      <c r="C243" s="37">
        <f t="shared" si="28"/>
        <v>14653.666986754579</v>
      </c>
      <c r="D243" s="27">
        <f t="shared" si="23"/>
        <v>40000.000000000116</v>
      </c>
      <c r="E243" s="38">
        <f t="shared" si="29"/>
        <v>1573235.520087254</v>
      </c>
      <c r="F243" s="39">
        <f t="shared" si="24"/>
        <v>5337973.959751213</v>
      </c>
      <c r="G243" s="39">
        <f t="shared" si="25"/>
        <v>2302026.0402488131</v>
      </c>
      <c r="K243" s="8">
        <v>16</v>
      </c>
    </row>
    <row r="244" spans="1:11">
      <c r="A244" s="24">
        <f t="shared" si="26"/>
        <v>192</v>
      </c>
      <c r="B244" s="25">
        <f t="shared" si="27"/>
        <v>25578.674399200288</v>
      </c>
      <c r="C244" s="37">
        <f t="shared" si="28"/>
        <v>14421.325600799828</v>
      </c>
      <c r="D244" s="27">
        <f t="shared" si="23"/>
        <v>40000.000000000116</v>
      </c>
      <c r="E244" s="38">
        <f t="shared" si="29"/>
        <v>1547656.8456880536</v>
      </c>
      <c r="F244" s="39">
        <f t="shared" si="24"/>
        <v>5352395.2853520131</v>
      </c>
      <c r="G244" s="39">
        <f t="shared" si="25"/>
        <v>2327604.7146480135</v>
      </c>
      <c r="K244" s="8">
        <v>16</v>
      </c>
    </row>
    <row r="245" spans="1:11">
      <c r="A245" s="24">
        <f t="shared" si="26"/>
        <v>193</v>
      </c>
      <c r="B245" s="25">
        <f t="shared" si="27"/>
        <v>25813.145581192955</v>
      </c>
      <c r="C245" s="37">
        <f t="shared" si="28"/>
        <v>14186.854418807159</v>
      </c>
      <c r="D245" s="27">
        <f t="shared" ref="D245:D308" si="30">IF(A245&lt;=$C$6*12, $C$10, 0)</f>
        <v>40000.000000000116</v>
      </c>
      <c r="E245" s="38">
        <f t="shared" si="29"/>
        <v>1521843.7001068606</v>
      </c>
      <c r="F245" s="39">
        <f t="shared" si="24"/>
        <v>5366582.1397708198</v>
      </c>
      <c r="G245" s="39">
        <f t="shared" si="25"/>
        <v>2353417.8602292063</v>
      </c>
      <c r="K245" s="8">
        <v>17</v>
      </c>
    </row>
    <row r="246" spans="1:11">
      <c r="A246" s="24">
        <f t="shared" si="26"/>
        <v>194</v>
      </c>
      <c r="B246" s="25">
        <f t="shared" si="27"/>
        <v>26049.766082353897</v>
      </c>
      <c r="C246" s="37">
        <f t="shared" si="28"/>
        <v>13950.233917646221</v>
      </c>
      <c r="D246" s="27">
        <f t="shared" si="30"/>
        <v>40000.000000000116</v>
      </c>
      <c r="E246" s="38">
        <f t="shared" si="29"/>
        <v>1495793.9340245067</v>
      </c>
      <c r="F246" s="39">
        <f t="shared" ref="F246:F309" si="31">IF(A246&lt;=$C$6*12, F245+C246, 0)</f>
        <v>5380532.3736884659</v>
      </c>
      <c r="G246" s="39">
        <f t="shared" ref="G246:G309" si="32">IF(A246&lt;=$C$6*12, G245+B246, 0)</f>
        <v>2379467.6263115602</v>
      </c>
      <c r="K246" s="8">
        <v>17</v>
      </c>
    </row>
    <row r="247" spans="1:11">
      <c r="A247" s="24">
        <f t="shared" ref="A247:A310" si="33">A246+1</f>
        <v>195</v>
      </c>
      <c r="B247" s="25">
        <f t="shared" ref="B247:B310" si="34">IF(A246&lt;=$C$6*12,D247-C247,0)</f>
        <v>26288.555604775473</v>
      </c>
      <c r="C247" s="37">
        <f t="shared" ref="C247:C310" si="35">IF(A247&lt;=$C$6*12, E246*$C$5/12, 0)</f>
        <v>13711.444395224644</v>
      </c>
      <c r="D247" s="27">
        <f t="shared" si="30"/>
        <v>40000.000000000116</v>
      </c>
      <c r="E247" s="38">
        <f t="shared" ref="E247:E310" si="36">IF(A247&lt;=$C$6*12, E246-B247, 0)</f>
        <v>1469505.3784197313</v>
      </c>
      <c r="F247" s="39">
        <f t="shared" si="31"/>
        <v>5394243.8180836905</v>
      </c>
      <c r="G247" s="39">
        <f t="shared" si="32"/>
        <v>2405756.1819163356</v>
      </c>
      <c r="K247" s="8">
        <v>17</v>
      </c>
    </row>
    <row r="248" spans="1:11">
      <c r="A248" s="24">
        <f t="shared" si="33"/>
        <v>196</v>
      </c>
      <c r="B248" s="25">
        <f t="shared" si="34"/>
        <v>26529.53403115258</v>
      </c>
      <c r="C248" s="37">
        <f t="shared" si="35"/>
        <v>13470.465968847537</v>
      </c>
      <c r="D248" s="27">
        <f t="shared" si="30"/>
        <v>40000.000000000116</v>
      </c>
      <c r="E248" s="38">
        <f t="shared" si="36"/>
        <v>1442975.8443885788</v>
      </c>
      <c r="F248" s="39">
        <f t="shared" si="31"/>
        <v>5407714.2840525378</v>
      </c>
      <c r="G248" s="39">
        <f t="shared" si="32"/>
        <v>2432285.7159474883</v>
      </c>
      <c r="K248" s="8">
        <v>17</v>
      </c>
    </row>
    <row r="249" spans="1:11">
      <c r="A249" s="24">
        <f t="shared" si="33"/>
        <v>197</v>
      </c>
      <c r="B249" s="25">
        <f t="shared" si="34"/>
        <v>26772.721426438147</v>
      </c>
      <c r="C249" s="37">
        <f t="shared" si="35"/>
        <v>13227.278573561971</v>
      </c>
      <c r="D249" s="27">
        <f t="shared" si="30"/>
        <v>40000.000000000116</v>
      </c>
      <c r="E249" s="38">
        <f t="shared" si="36"/>
        <v>1416203.1229621407</v>
      </c>
      <c r="F249" s="39">
        <f t="shared" si="31"/>
        <v>5420941.5626261001</v>
      </c>
      <c r="G249" s="39">
        <f t="shared" si="32"/>
        <v>2459058.4373739264</v>
      </c>
      <c r="K249" s="8">
        <v>17</v>
      </c>
    </row>
    <row r="250" spans="1:11">
      <c r="A250" s="24">
        <f t="shared" si="33"/>
        <v>198</v>
      </c>
      <c r="B250" s="25">
        <f t="shared" si="34"/>
        <v>27018.138039513826</v>
      </c>
      <c r="C250" s="37">
        <f t="shared" si="35"/>
        <v>12981.861960486291</v>
      </c>
      <c r="D250" s="27">
        <f t="shared" si="30"/>
        <v>40000.000000000116</v>
      </c>
      <c r="E250" s="38">
        <f t="shared" si="36"/>
        <v>1389184.984922627</v>
      </c>
      <c r="F250" s="39">
        <f t="shared" si="31"/>
        <v>5433923.4245865867</v>
      </c>
      <c r="G250" s="39">
        <f t="shared" si="32"/>
        <v>2486076.5754134404</v>
      </c>
      <c r="K250" s="8">
        <v>17</v>
      </c>
    </row>
    <row r="251" spans="1:11">
      <c r="A251" s="24">
        <f t="shared" si="33"/>
        <v>199</v>
      </c>
      <c r="B251" s="25">
        <f t="shared" si="34"/>
        <v>27265.804304876037</v>
      </c>
      <c r="C251" s="37">
        <f t="shared" si="35"/>
        <v>12734.195695124081</v>
      </c>
      <c r="D251" s="27">
        <f t="shared" si="30"/>
        <v>40000.000000000116</v>
      </c>
      <c r="E251" s="38">
        <f t="shared" si="36"/>
        <v>1361919.1806177509</v>
      </c>
      <c r="F251" s="39">
        <f t="shared" si="31"/>
        <v>5446657.6202817103</v>
      </c>
      <c r="G251" s="39">
        <f t="shared" si="32"/>
        <v>2513342.3797183163</v>
      </c>
      <c r="K251" s="8">
        <v>17</v>
      </c>
    </row>
    <row r="252" spans="1:11">
      <c r="A252" s="24">
        <f t="shared" si="33"/>
        <v>200</v>
      </c>
      <c r="B252" s="25">
        <f t="shared" si="34"/>
        <v>27515.740844337401</v>
      </c>
      <c r="C252" s="37">
        <f t="shared" si="35"/>
        <v>12484.259155662716</v>
      </c>
      <c r="D252" s="27">
        <f t="shared" si="30"/>
        <v>40000.000000000116</v>
      </c>
      <c r="E252" s="38">
        <f t="shared" si="36"/>
        <v>1334403.4397734134</v>
      </c>
      <c r="F252" s="39">
        <f t="shared" si="31"/>
        <v>5459141.879437373</v>
      </c>
      <c r="G252" s="39">
        <f t="shared" si="32"/>
        <v>2540858.1205626535</v>
      </c>
      <c r="K252" s="8">
        <v>17</v>
      </c>
    </row>
    <row r="253" spans="1:11">
      <c r="A253" s="24">
        <f t="shared" si="33"/>
        <v>201</v>
      </c>
      <c r="B253" s="25">
        <f t="shared" si="34"/>
        <v>27767.968468743828</v>
      </c>
      <c r="C253" s="37">
        <f t="shared" si="35"/>
        <v>12232.031531256289</v>
      </c>
      <c r="D253" s="27">
        <f t="shared" si="30"/>
        <v>40000.000000000116</v>
      </c>
      <c r="E253" s="38">
        <f t="shared" si="36"/>
        <v>1306635.4713046695</v>
      </c>
      <c r="F253" s="39">
        <f t="shared" si="31"/>
        <v>5471373.9109686296</v>
      </c>
      <c r="G253" s="39">
        <f t="shared" si="32"/>
        <v>2568626.0890313974</v>
      </c>
      <c r="K253" s="8">
        <v>17</v>
      </c>
    </row>
    <row r="254" spans="1:11">
      <c r="A254" s="24">
        <f t="shared" si="33"/>
        <v>202</v>
      </c>
      <c r="B254" s="25">
        <f t="shared" si="34"/>
        <v>28022.508179707314</v>
      </c>
      <c r="C254" s="37">
        <f t="shared" si="35"/>
        <v>11977.491820292804</v>
      </c>
      <c r="D254" s="27">
        <f t="shared" si="30"/>
        <v>40000.000000000116</v>
      </c>
      <c r="E254" s="38">
        <f t="shared" si="36"/>
        <v>1278612.9631249623</v>
      </c>
      <c r="F254" s="39">
        <f t="shared" si="31"/>
        <v>5483351.4027889222</v>
      </c>
      <c r="G254" s="39">
        <f t="shared" si="32"/>
        <v>2596648.5972111048</v>
      </c>
      <c r="K254" s="8">
        <v>17</v>
      </c>
    </row>
    <row r="255" spans="1:11">
      <c r="A255" s="24">
        <f t="shared" si="33"/>
        <v>203</v>
      </c>
      <c r="B255" s="25">
        <f t="shared" si="34"/>
        <v>28279.381171354631</v>
      </c>
      <c r="C255" s="37">
        <f t="shared" si="35"/>
        <v>11720.618828645487</v>
      </c>
      <c r="D255" s="27">
        <f t="shared" si="30"/>
        <v>40000.000000000116</v>
      </c>
      <c r="E255" s="38">
        <f t="shared" si="36"/>
        <v>1250333.5819536077</v>
      </c>
      <c r="F255" s="39">
        <f t="shared" si="31"/>
        <v>5495072.0216175681</v>
      </c>
      <c r="G255" s="39">
        <f t="shared" si="32"/>
        <v>2624927.9783824594</v>
      </c>
      <c r="K255" s="8">
        <v>17</v>
      </c>
    </row>
    <row r="256" spans="1:11">
      <c r="A256" s="24">
        <f t="shared" si="33"/>
        <v>204</v>
      </c>
      <c r="B256" s="25">
        <f t="shared" si="34"/>
        <v>28538.608832092046</v>
      </c>
      <c r="C256" s="37">
        <f t="shared" si="35"/>
        <v>11461.39116790807</v>
      </c>
      <c r="D256" s="27">
        <f t="shared" si="30"/>
        <v>40000.000000000116</v>
      </c>
      <c r="E256" s="38">
        <f t="shared" si="36"/>
        <v>1221794.9731215157</v>
      </c>
      <c r="F256" s="39">
        <f t="shared" si="31"/>
        <v>5506533.4127854761</v>
      </c>
      <c r="G256" s="39">
        <f t="shared" si="32"/>
        <v>2653466.5872145514</v>
      </c>
      <c r="K256" s="8">
        <v>17</v>
      </c>
    </row>
    <row r="257" spans="1:11">
      <c r="A257" s="24">
        <f t="shared" si="33"/>
        <v>205</v>
      </c>
      <c r="B257" s="25">
        <f t="shared" si="34"/>
        <v>28800.21274638622</v>
      </c>
      <c r="C257" s="37">
        <f t="shared" si="35"/>
        <v>11199.787253613895</v>
      </c>
      <c r="D257" s="27">
        <f t="shared" si="30"/>
        <v>40000.000000000116</v>
      </c>
      <c r="E257" s="38">
        <f t="shared" si="36"/>
        <v>1192994.7603751295</v>
      </c>
      <c r="F257" s="39">
        <f t="shared" si="31"/>
        <v>5517733.2000390897</v>
      </c>
      <c r="G257" s="39">
        <f t="shared" si="32"/>
        <v>2682266.7999609378</v>
      </c>
      <c r="K257" s="8">
        <v>18</v>
      </c>
    </row>
    <row r="258" spans="1:11">
      <c r="A258" s="24">
        <f t="shared" si="33"/>
        <v>206</v>
      </c>
      <c r="B258" s="25">
        <f t="shared" si="34"/>
        <v>29064.21469656143</v>
      </c>
      <c r="C258" s="37">
        <f t="shared" si="35"/>
        <v>10935.785303438686</v>
      </c>
      <c r="D258" s="27">
        <f t="shared" si="30"/>
        <v>40000.000000000116</v>
      </c>
      <c r="E258" s="38">
        <f t="shared" si="36"/>
        <v>1163930.5456785681</v>
      </c>
      <c r="F258" s="39">
        <f t="shared" si="31"/>
        <v>5528668.9853425287</v>
      </c>
      <c r="G258" s="39">
        <f t="shared" si="32"/>
        <v>2711331.0146574993</v>
      </c>
      <c r="K258" s="8">
        <v>18</v>
      </c>
    </row>
    <row r="259" spans="1:11">
      <c r="A259" s="24">
        <f t="shared" si="33"/>
        <v>207</v>
      </c>
      <c r="B259" s="25">
        <f t="shared" si="34"/>
        <v>29330.636664613245</v>
      </c>
      <c r="C259" s="37">
        <f t="shared" si="35"/>
        <v>10669.363335386874</v>
      </c>
      <c r="D259" s="27">
        <f t="shared" si="30"/>
        <v>40000.000000000116</v>
      </c>
      <c r="E259" s="38">
        <f t="shared" si="36"/>
        <v>1134599.9090139549</v>
      </c>
      <c r="F259" s="39">
        <f t="shared" si="31"/>
        <v>5539338.3486779155</v>
      </c>
      <c r="G259" s="39">
        <f t="shared" si="32"/>
        <v>2740661.6513221124</v>
      </c>
      <c r="K259" s="8">
        <v>18</v>
      </c>
    </row>
    <row r="260" spans="1:11">
      <c r="A260" s="24">
        <f t="shared" si="33"/>
        <v>208</v>
      </c>
      <c r="B260" s="25">
        <f t="shared" si="34"/>
        <v>29599.500834038863</v>
      </c>
      <c r="C260" s="37">
        <f t="shared" si="35"/>
        <v>10400.499165961253</v>
      </c>
      <c r="D260" s="27">
        <f t="shared" si="30"/>
        <v>40000.000000000116</v>
      </c>
      <c r="E260" s="38">
        <f t="shared" si="36"/>
        <v>1105000.408179916</v>
      </c>
      <c r="F260" s="39">
        <f t="shared" si="31"/>
        <v>5549738.847843877</v>
      </c>
      <c r="G260" s="39">
        <f t="shared" si="32"/>
        <v>2770261.1521561514</v>
      </c>
      <c r="K260" s="8">
        <v>18</v>
      </c>
    </row>
    <row r="261" spans="1:11">
      <c r="A261" s="24">
        <f t="shared" si="33"/>
        <v>209</v>
      </c>
      <c r="B261" s="25">
        <f t="shared" si="34"/>
        <v>29870.829591684218</v>
      </c>
      <c r="C261" s="37">
        <f t="shared" si="35"/>
        <v>10129.170408315897</v>
      </c>
      <c r="D261" s="27">
        <f t="shared" si="30"/>
        <v>40000.000000000116</v>
      </c>
      <c r="E261" s="38">
        <f t="shared" si="36"/>
        <v>1075129.5785882317</v>
      </c>
      <c r="F261" s="39">
        <f t="shared" si="31"/>
        <v>5559868.018252193</v>
      </c>
      <c r="G261" s="39">
        <f t="shared" si="32"/>
        <v>2800131.9817478354</v>
      </c>
      <c r="K261" s="8">
        <v>18</v>
      </c>
    </row>
    <row r="262" spans="1:11">
      <c r="A262" s="24">
        <f t="shared" si="33"/>
        <v>210</v>
      </c>
      <c r="B262" s="25">
        <f t="shared" si="34"/>
        <v>30144.645529607995</v>
      </c>
      <c r="C262" s="37">
        <f t="shared" si="35"/>
        <v>9855.3544703921234</v>
      </c>
      <c r="D262" s="27">
        <f t="shared" si="30"/>
        <v>40000.000000000116</v>
      </c>
      <c r="E262" s="38">
        <f t="shared" si="36"/>
        <v>1044984.9330586237</v>
      </c>
      <c r="F262" s="39">
        <f t="shared" si="31"/>
        <v>5569723.3727225848</v>
      </c>
      <c r="G262" s="39">
        <f t="shared" si="32"/>
        <v>2830276.6272774432</v>
      </c>
      <c r="K262" s="8">
        <v>18</v>
      </c>
    </row>
    <row r="263" spans="1:11">
      <c r="A263" s="24">
        <f t="shared" si="33"/>
        <v>211</v>
      </c>
      <c r="B263" s="25">
        <f t="shared" si="34"/>
        <v>30420.971446962732</v>
      </c>
      <c r="C263" s="37">
        <f t="shared" si="35"/>
        <v>9579.028553037384</v>
      </c>
      <c r="D263" s="27">
        <f t="shared" si="30"/>
        <v>40000.000000000116</v>
      </c>
      <c r="E263" s="38">
        <f t="shared" si="36"/>
        <v>1014563.961611661</v>
      </c>
      <c r="F263" s="39">
        <f t="shared" si="31"/>
        <v>5579302.4012756217</v>
      </c>
      <c r="G263" s="39">
        <f t="shared" si="32"/>
        <v>2860697.5987244057</v>
      </c>
      <c r="K263" s="8">
        <v>18</v>
      </c>
    </row>
    <row r="264" spans="1:11">
      <c r="A264" s="24">
        <f t="shared" si="33"/>
        <v>212</v>
      </c>
      <c r="B264" s="25">
        <f t="shared" si="34"/>
        <v>30699.830351893223</v>
      </c>
      <c r="C264" s="37">
        <f t="shared" si="35"/>
        <v>9300.1696481068921</v>
      </c>
      <c r="D264" s="27">
        <f t="shared" si="30"/>
        <v>40000.000000000116</v>
      </c>
      <c r="E264" s="38">
        <f t="shared" si="36"/>
        <v>983864.1312597678</v>
      </c>
      <c r="F264" s="39">
        <f t="shared" si="31"/>
        <v>5588602.5709237289</v>
      </c>
      <c r="G264" s="39">
        <f t="shared" si="32"/>
        <v>2891397.4290762991</v>
      </c>
      <c r="K264" s="8">
        <v>18</v>
      </c>
    </row>
    <row r="265" spans="1:11">
      <c r="A265" s="24">
        <f t="shared" si="33"/>
        <v>213</v>
      </c>
      <c r="B265" s="25">
        <f t="shared" si="34"/>
        <v>30981.245463452244</v>
      </c>
      <c r="C265" s="37">
        <f t="shared" si="35"/>
        <v>9018.7545365478709</v>
      </c>
      <c r="D265" s="27">
        <f t="shared" si="30"/>
        <v>40000.000000000116</v>
      </c>
      <c r="E265" s="38">
        <f t="shared" si="36"/>
        <v>952882.8857963155</v>
      </c>
      <c r="F265" s="39">
        <f t="shared" si="31"/>
        <v>5597621.3254602766</v>
      </c>
      <c r="G265" s="39">
        <f t="shared" si="32"/>
        <v>2922378.6745397514</v>
      </c>
      <c r="K265" s="8">
        <v>18</v>
      </c>
    </row>
    <row r="266" spans="1:11">
      <c r="A266" s="24">
        <f t="shared" si="33"/>
        <v>214</v>
      </c>
      <c r="B266" s="25">
        <f t="shared" si="34"/>
        <v>31265.240213533893</v>
      </c>
      <c r="C266" s="37">
        <f t="shared" si="35"/>
        <v>8734.7597864662257</v>
      </c>
      <c r="D266" s="27">
        <f t="shared" si="30"/>
        <v>40000.000000000116</v>
      </c>
      <c r="E266" s="38">
        <f t="shared" si="36"/>
        <v>921617.64558278164</v>
      </c>
      <c r="F266" s="39">
        <f t="shared" si="31"/>
        <v>5606356.0852467427</v>
      </c>
      <c r="G266" s="39">
        <f t="shared" si="32"/>
        <v>2953643.9147532852</v>
      </c>
      <c r="K266" s="8">
        <v>18</v>
      </c>
    </row>
    <row r="267" spans="1:11">
      <c r="A267" s="24">
        <f t="shared" si="33"/>
        <v>215</v>
      </c>
      <c r="B267" s="25">
        <f t="shared" si="34"/>
        <v>31551.838248824621</v>
      </c>
      <c r="C267" s="37">
        <f t="shared" si="35"/>
        <v>8448.1617511754976</v>
      </c>
      <c r="D267" s="27">
        <f t="shared" si="30"/>
        <v>40000.000000000116</v>
      </c>
      <c r="E267" s="38">
        <f t="shared" si="36"/>
        <v>890065.80733395705</v>
      </c>
      <c r="F267" s="39">
        <f t="shared" si="31"/>
        <v>5614804.246997918</v>
      </c>
      <c r="G267" s="39">
        <f t="shared" si="32"/>
        <v>2985195.7530021099</v>
      </c>
      <c r="K267" s="8">
        <v>18</v>
      </c>
    </row>
    <row r="268" spans="1:11">
      <c r="A268" s="24">
        <f t="shared" si="33"/>
        <v>216</v>
      </c>
      <c r="B268" s="25">
        <f t="shared" si="34"/>
        <v>31841.063432772178</v>
      </c>
      <c r="C268" s="37">
        <f t="shared" si="35"/>
        <v>8158.9365672279391</v>
      </c>
      <c r="D268" s="27">
        <f t="shared" si="30"/>
        <v>40000.000000000116</v>
      </c>
      <c r="E268" s="38">
        <f t="shared" si="36"/>
        <v>858224.74390118488</v>
      </c>
      <c r="F268" s="39">
        <f t="shared" si="31"/>
        <v>5622963.1835651463</v>
      </c>
      <c r="G268" s="39">
        <f t="shared" si="32"/>
        <v>3017036.8164348821</v>
      </c>
      <c r="K268" s="8">
        <v>18</v>
      </c>
    </row>
    <row r="269" spans="1:11">
      <c r="A269" s="24">
        <f t="shared" si="33"/>
        <v>217</v>
      </c>
      <c r="B269" s="25">
        <f t="shared" si="34"/>
        <v>32132.939847572587</v>
      </c>
      <c r="C269" s="37">
        <f t="shared" si="35"/>
        <v>7867.0601524275289</v>
      </c>
      <c r="D269" s="27">
        <f t="shared" si="30"/>
        <v>40000.000000000116</v>
      </c>
      <c r="E269" s="38">
        <f t="shared" si="36"/>
        <v>826091.80405361229</v>
      </c>
      <c r="F269" s="39">
        <f t="shared" si="31"/>
        <v>5630830.2437175736</v>
      </c>
      <c r="G269" s="39">
        <f t="shared" si="32"/>
        <v>3049169.7562824548</v>
      </c>
      <c r="K269" s="8">
        <v>19</v>
      </c>
    </row>
    <row r="270" spans="1:11">
      <c r="A270" s="24">
        <f t="shared" si="33"/>
        <v>218</v>
      </c>
      <c r="B270" s="25">
        <f t="shared" si="34"/>
        <v>32427.491796175338</v>
      </c>
      <c r="C270" s="37">
        <f t="shared" si="35"/>
        <v>7572.5082038247792</v>
      </c>
      <c r="D270" s="27">
        <f t="shared" si="30"/>
        <v>40000.000000000116</v>
      </c>
      <c r="E270" s="38">
        <f t="shared" si="36"/>
        <v>793664.31225743692</v>
      </c>
      <c r="F270" s="39">
        <f t="shared" si="31"/>
        <v>5638402.7519213986</v>
      </c>
      <c r="G270" s="39">
        <f t="shared" si="32"/>
        <v>3081597.2480786303</v>
      </c>
      <c r="K270" s="8">
        <v>19</v>
      </c>
    </row>
    <row r="271" spans="1:11">
      <c r="A271" s="24">
        <f t="shared" si="33"/>
        <v>219</v>
      </c>
      <c r="B271" s="25">
        <f t="shared" si="34"/>
        <v>32724.743804306945</v>
      </c>
      <c r="C271" s="37">
        <f t="shared" si="35"/>
        <v>7275.2561956931713</v>
      </c>
      <c r="D271" s="27">
        <f t="shared" si="30"/>
        <v>40000.000000000116</v>
      </c>
      <c r="E271" s="38">
        <f t="shared" si="36"/>
        <v>760939.56845312996</v>
      </c>
      <c r="F271" s="39">
        <f t="shared" si="31"/>
        <v>5645678.0081170918</v>
      </c>
      <c r="G271" s="39">
        <f t="shared" si="32"/>
        <v>3114321.991882937</v>
      </c>
      <c r="K271" s="8">
        <v>19</v>
      </c>
    </row>
    <row r="272" spans="1:11">
      <c r="A272" s="24">
        <f t="shared" si="33"/>
        <v>220</v>
      </c>
      <c r="B272" s="25">
        <f t="shared" si="34"/>
        <v>33024.720622513094</v>
      </c>
      <c r="C272" s="37">
        <f t="shared" si="35"/>
        <v>6975.2793774870252</v>
      </c>
      <c r="D272" s="27">
        <f t="shared" si="30"/>
        <v>40000.000000000116</v>
      </c>
      <c r="E272" s="38">
        <f t="shared" si="36"/>
        <v>727914.84783061687</v>
      </c>
      <c r="F272" s="39">
        <f t="shared" si="31"/>
        <v>5652653.2874945793</v>
      </c>
      <c r="G272" s="39">
        <f t="shared" si="32"/>
        <v>3147346.71250545</v>
      </c>
      <c r="K272" s="8">
        <v>19</v>
      </c>
    </row>
    <row r="273" spans="1:11">
      <c r="A273" s="24">
        <f t="shared" si="33"/>
        <v>221</v>
      </c>
      <c r="B273" s="25">
        <f t="shared" si="34"/>
        <v>33327.447228219462</v>
      </c>
      <c r="C273" s="37">
        <f t="shared" si="35"/>
        <v>6672.5527717806544</v>
      </c>
      <c r="D273" s="27">
        <f t="shared" si="30"/>
        <v>40000.000000000116</v>
      </c>
      <c r="E273" s="38">
        <f t="shared" si="36"/>
        <v>694587.40060239739</v>
      </c>
      <c r="F273" s="39">
        <f t="shared" si="31"/>
        <v>5659325.84026636</v>
      </c>
      <c r="G273" s="39">
        <f t="shared" si="32"/>
        <v>3180674.1597336694</v>
      </c>
      <c r="K273" s="8">
        <v>19</v>
      </c>
    </row>
    <row r="274" spans="1:11">
      <c r="A274" s="24">
        <f t="shared" si="33"/>
        <v>222</v>
      </c>
      <c r="B274" s="25">
        <f t="shared" si="34"/>
        <v>33632.948827811473</v>
      </c>
      <c r="C274" s="37">
        <f t="shared" si="35"/>
        <v>6367.0511721886432</v>
      </c>
      <c r="D274" s="27">
        <f t="shared" si="30"/>
        <v>40000.000000000116</v>
      </c>
      <c r="E274" s="38">
        <f t="shared" si="36"/>
        <v>660954.45177458588</v>
      </c>
      <c r="F274" s="39">
        <f t="shared" si="31"/>
        <v>5665692.8914385485</v>
      </c>
      <c r="G274" s="39">
        <f t="shared" si="32"/>
        <v>3214307.1085614809</v>
      </c>
      <c r="K274" s="8">
        <v>19</v>
      </c>
    </row>
    <row r="275" spans="1:11">
      <c r="A275" s="24">
        <f t="shared" si="33"/>
        <v>223</v>
      </c>
      <c r="B275" s="25">
        <f t="shared" si="34"/>
        <v>33941.250858733081</v>
      </c>
      <c r="C275" s="37">
        <f t="shared" si="35"/>
        <v>6058.7491412670379</v>
      </c>
      <c r="D275" s="27">
        <f t="shared" si="30"/>
        <v>40000.000000000116</v>
      </c>
      <c r="E275" s="38">
        <f t="shared" si="36"/>
        <v>627013.20091585279</v>
      </c>
      <c r="F275" s="39">
        <f t="shared" si="31"/>
        <v>5671751.640579816</v>
      </c>
      <c r="G275" s="39">
        <f t="shared" si="32"/>
        <v>3248248.3594202138</v>
      </c>
      <c r="K275" s="8">
        <v>19</v>
      </c>
    </row>
    <row r="276" spans="1:11">
      <c r="A276" s="24">
        <f t="shared" si="33"/>
        <v>224</v>
      </c>
      <c r="B276" s="25">
        <f t="shared" si="34"/>
        <v>34252.378991604797</v>
      </c>
      <c r="C276" s="37">
        <f t="shared" si="35"/>
        <v>5747.6210083953165</v>
      </c>
      <c r="D276" s="27">
        <f t="shared" si="30"/>
        <v>40000.000000000116</v>
      </c>
      <c r="E276" s="38">
        <f t="shared" si="36"/>
        <v>592760.82192424801</v>
      </c>
      <c r="F276" s="39">
        <f t="shared" si="31"/>
        <v>5677499.2615882112</v>
      </c>
      <c r="G276" s="39">
        <f t="shared" si="32"/>
        <v>3282500.7384118186</v>
      </c>
      <c r="K276" s="8">
        <v>19</v>
      </c>
    </row>
    <row r="277" spans="1:11">
      <c r="A277" s="24">
        <f t="shared" si="33"/>
        <v>225</v>
      </c>
      <c r="B277" s="25">
        <f t="shared" si="34"/>
        <v>34566.359132361176</v>
      </c>
      <c r="C277" s="37">
        <f t="shared" si="35"/>
        <v>5433.6408676389401</v>
      </c>
      <c r="D277" s="27">
        <f t="shared" si="30"/>
        <v>40000.000000000116</v>
      </c>
      <c r="E277" s="38">
        <f t="shared" si="36"/>
        <v>558194.46279188688</v>
      </c>
      <c r="F277" s="39">
        <f t="shared" si="31"/>
        <v>5682932.9024558505</v>
      </c>
      <c r="G277" s="39">
        <f t="shared" si="32"/>
        <v>3317067.0975441798</v>
      </c>
      <c r="K277" s="8">
        <v>19</v>
      </c>
    </row>
    <row r="278" spans="1:11">
      <c r="A278" s="24">
        <f t="shared" si="33"/>
        <v>226</v>
      </c>
      <c r="B278" s="25">
        <f t="shared" si="34"/>
        <v>34883.21742440782</v>
      </c>
      <c r="C278" s="37">
        <f t="shared" si="35"/>
        <v>5116.7825755922959</v>
      </c>
      <c r="D278" s="27">
        <f t="shared" si="30"/>
        <v>40000.000000000116</v>
      </c>
      <c r="E278" s="38">
        <f t="shared" si="36"/>
        <v>523311.24536747904</v>
      </c>
      <c r="F278" s="39">
        <f t="shared" si="31"/>
        <v>5688049.6850314429</v>
      </c>
      <c r="G278" s="39">
        <f t="shared" si="32"/>
        <v>3351950.3149685874</v>
      </c>
      <c r="K278" s="8">
        <v>19</v>
      </c>
    </row>
    <row r="279" spans="1:11">
      <c r="A279" s="24">
        <f t="shared" si="33"/>
        <v>227</v>
      </c>
      <c r="B279" s="25">
        <f t="shared" si="34"/>
        <v>35202.980250798224</v>
      </c>
      <c r="C279" s="37">
        <f t="shared" si="35"/>
        <v>4797.0197492018915</v>
      </c>
      <c r="D279" s="27">
        <f t="shared" si="30"/>
        <v>40000.000000000116</v>
      </c>
      <c r="E279" s="38">
        <f t="shared" si="36"/>
        <v>488108.26511668082</v>
      </c>
      <c r="F279" s="39">
        <f t="shared" si="31"/>
        <v>5692846.7047806447</v>
      </c>
      <c r="G279" s="39">
        <f t="shared" si="32"/>
        <v>3387153.2952193855</v>
      </c>
      <c r="K279" s="8">
        <v>19</v>
      </c>
    </row>
    <row r="280" spans="1:11">
      <c r="A280" s="24">
        <f t="shared" si="33"/>
        <v>228</v>
      </c>
      <c r="B280" s="25">
        <f t="shared" si="34"/>
        <v>35525.674236430539</v>
      </c>
      <c r="C280" s="37">
        <f t="shared" si="35"/>
        <v>4474.3257635695745</v>
      </c>
      <c r="D280" s="27">
        <f t="shared" si="30"/>
        <v>40000.000000000116</v>
      </c>
      <c r="E280" s="38">
        <f t="shared" si="36"/>
        <v>452582.59088025027</v>
      </c>
      <c r="F280" s="39">
        <f t="shared" si="31"/>
        <v>5697321.030544214</v>
      </c>
      <c r="G280" s="39">
        <f t="shared" si="32"/>
        <v>3422678.9694558159</v>
      </c>
      <c r="K280" s="8">
        <v>19</v>
      </c>
    </row>
    <row r="281" spans="1:11">
      <c r="A281" s="24">
        <f t="shared" si="33"/>
        <v>229</v>
      </c>
      <c r="B281" s="25">
        <f t="shared" si="34"/>
        <v>35851.326250264487</v>
      </c>
      <c r="C281" s="37">
        <f t="shared" si="35"/>
        <v>4148.6737497356271</v>
      </c>
      <c r="D281" s="27">
        <f t="shared" si="30"/>
        <v>40000.000000000116</v>
      </c>
      <c r="E281" s="38">
        <f t="shared" si="36"/>
        <v>416731.26462998579</v>
      </c>
      <c r="F281" s="39">
        <f t="shared" si="31"/>
        <v>5701469.7042939495</v>
      </c>
      <c r="G281" s="39">
        <f t="shared" si="32"/>
        <v>3458530.2957060803</v>
      </c>
      <c r="K281" s="8">
        <v>20</v>
      </c>
    </row>
    <row r="282" spans="1:11">
      <c r="A282" s="24">
        <f t="shared" si="33"/>
        <v>230</v>
      </c>
      <c r="B282" s="25">
        <f t="shared" si="34"/>
        <v>36179.963407558578</v>
      </c>
      <c r="C282" s="37">
        <f t="shared" si="35"/>
        <v>3820.0365924415364</v>
      </c>
      <c r="D282" s="27">
        <f t="shared" si="30"/>
        <v>40000.000000000116</v>
      </c>
      <c r="E282" s="38">
        <f t="shared" si="36"/>
        <v>380551.30122242722</v>
      </c>
      <c r="F282" s="39">
        <f t="shared" si="31"/>
        <v>5705289.7408863911</v>
      </c>
      <c r="G282" s="39">
        <f t="shared" si="32"/>
        <v>3494710.2591136387</v>
      </c>
      <c r="K282" s="8">
        <v>20</v>
      </c>
    </row>
    <row r="283" spans="1:11">
      <c r="A283" s="24">
        <f t="shared" si="33"/>
        <v>231</v>
      </c>
      <c r="B283" s="25">
        <f t="shared" si="34"/>
        <v>36511.613072127868</v>
      </c>
      <c r="C283" s="37">
        <f t="shared" si="35"/>
        <v>3488.38692787225</v>
      </c>
      <c r="D283" s="27">
        <f t="shared" si="30"/>
        <v>40000.000000000116</v>
      </c>
      <c r="E283" s="38">
        <f t="shared" si="36"/>
        <v>344039.68815029936</v>
      </c>
      <c r="F283" s="39">
        <f t="shared" si="31"/>
        <v>5708778.1278142631</v>
      </c>
      <c r="G283" s="39">
        <f t="shared" si="32"/>
        <v>3531221.8721857667</v>
      </c>
      <c r="K283" s="8">
        <v>20</v>
      </c>
    </row>
    <row r="284" spans="1:11">
      <c r="A284" s="24">
        <f t="shared" si="33"/>
        <v>232</v>
      </c>
      <c r="B284" s="25">
        <f t="shared" si="34"/>
        <v>36846.302858622374</v>
      </c>
      <c r="C284" s="37">
        <f t="shared" si="35"/>
        <v>3153.6971413777442</v>
      </c>
      <c r="D284" s="27">
        <f t="shared" si="30"/>
        <v>40000.000000000116</v>
      </c>
      <c r="E284" s="38">
        <f t="shared" si="36"/>
        <v>307193.38529167697</v>
      </c>
      <c r="F284" s="39">
        <f t="shared" si="31"/>
        <v>5711931.8249556413</v>
      </c>
      <c r="G284" s="39">
        <f t="shared" si="32"/>
        <v>3568068.175044389</v>
      </c>
      <c r="K284" s="8">
        <v>20</v>
      </c>
    </row>
    <row r="285" spans="1:11">
      <c r="A285" s="24">
        <f t="shared" si="33"/>
        <v>233</v>
      </c>
      <c r="B285" s="25">
        <f t="shared" si="34"/>
        <v>37184.060634826412</v>
      </c>
      <c r="C285" s="37">
        <f t="shared" si="35"/>
        <v>2815.9393651737059</v>
      </c>
      <c r="D285" s="27">
        <f t="shared" si="30"/>
        <v>40000.000000000116</v>
      </c>
      <c r="E285" s="38">
        <f t="shared" si="36"/>
        <v>270009.32465685054</v>
      </c>
      <c r="F285" s="39">
        <f t="shared" si="31"/>
        <v>5714747.764320815</v>
      </c>
      <c r="G285" s="39">
        <f t="shared" si="32"/>
        <v>3605252.2356792153</v>
      </c>
      <c r="K285" s="8">
        <v>20</v>
      </c>
    </row>
    <row r="286" spans="1:11">
      <c r="A286" s="24">
        <f t="shared" si="33"/>
        <v>234</v>
      </c>
      <c r="B286" s="25">
        <f t="shared" si="34"/>
        <v>37524.914523978987</v>
      </c>
      <c r="C286" s="37">
        <f t="shared" si="35"/>
        <v>2475.08547602113</v>
      </c>
      <c r="D286" s="27">
        <f t="shared" si="30"/>
        <v>40000.000000000116</v>
      </c>
      <c r="E286" s="38">
        <f t="shared" si="36"/>
        <v>232484.41013287156</v>
      </c>
      <c r="F286" s="39">
        <f t="shared" si="31"/>
        <v>5717222.8497968363</v>
      </c>
      <c r="G286" s="39">
        <f t="shared" si="32"/>
        <v>3642777.1502031945</v>
      </c>
      <c r="K286" s="8">
        <v>20</v>
      </c>
    </row>
    <row r="287" spans="1:11">
      <c r="A287" s="24">
        <f t="shared" si="33"/>
        <v>235</v>
      </c>
      <c r="B287" s="25">
        <f t="shared" si="34"/>
        <v>37868.892907115463</v>
      </c>
      <c r="C287" s="37">
        <f t="shared" si="35"/>
        <v>2131.1070928846561</v>
      </c>
      <c r="D287" s="27">
        <f t="shared" si="30"/>
        <v>40000.000000000116</v>
      </c>
      <c r="E287" s="38">
        <f t="shared" si="36"/>
        <v>194615.51722575611</v>
      </c>
      <c r="F287" s="39">
        <f t="shared" si="31"/>
        <v>5719353.9568897206</v>
      </c>
      <c r="G287" s="39">
        <f t="shared" si="32"/>
        <v>3680646.0431103101</v>
      </c>
      <c r="K287" s="8">
        <v>20</v>
      </c>
    </row>
    <row r="288" spans="1:11">
      <c r="A288" s="24">
        <f t="shared" si="33"/>
        <v>236</v>
      </c>
      <c r="B288" s="25">
        <f t="shared" si="34"/>
        <v>38216.024425430689</v>
      </c>
      <c r="C288" s="37">
        <f t="shared" si="35"/>
        <v>1783.975574569431</v>
      </c>
      <c r="D288" s="27">
        <f t="shared" si="30"/>
        <v>40000.000000000116</v>
      </c>
      <c r="E288" s="38">
        <f t="shared" si="36"/>
        <v>156399.49280032542</v>
      </c>
      <c r="F288" s="39">
        <f t="shared" si="31"/>
        <v>5721137.9324642904</v>
      </c>
      <c r="G288" s="39">
        <f t="shared" si="32"/>
        <v>3718862.0675357408</v>
      </c>
      <c r="K288" s="8">
        <v>20</v>
      </c>
    </row>
    <row r="289" spans="1:11">
      <c r="A289" s="24">
        <f t="shared" si="33"/>
        <v>237</v>
      </c>
      <c r="B289" s="25">
        <f t="shared" si="34"/>
        <v>38566.337982663797</v>
      </c>
      <c r="C289" s="37">
        <f t="shared" si="35"/>
        <v>1433.6620173363162</v>
      </c>
      <c r="D289" s="27">
        <f t="shared" si="30"/>
        <v>40000.000000000116</v>
      </c>
      <c r="E289" s="38">
        <f t="shared" si="36"/>
        <v>117833.15481766162</v>
      </c>
      <c r="F289" s="39">
        <f t="shared" si="31"/>
        <v>5722571.5944816265</v>
      </c>
      <c r="G289" s="39">
        <f t="shared" si="32"/>
        <v>3757428.4055184047</v>
      </c>
      <c r="K289" s="8">
        <v>20</v>
      </c>
    </row>
    <row r="290" spans="1:11">
      <c r="A290" s="24">
        <f t="shared" si="33"/>
        <v>238</v>
      </c>
      <c r="B290" s="25">
        <f t="shared" si="34"/>
        <v>38919.862747504885</v>
      </c>
      <c r="C290" s="37">
        <f t="shared" si="35"/>
        <v>1080.1372524952315</v>
      </c>
      <c r="D290" s="27">
        <f t="shared" si="30"/>
        <v>40000.000000000116</v>
      </c>
      <c r="E290" s="38">
        <f t="shared" si="36"/>
        <v>78913.292070156735</v>
      </c>
      <c r="F290" s="39">
        <f t="shared" si="31"/>
        <v>5723651.7317341221</v>
      </c>
      <c r="G290" s="39">
        <f t="shared" si="32"/>
        <v>3796348.2682659095</v>
      </c>
      <c r="K290" s="8">
        <v>20</v>
      </c>
    </row>
    <row r="291" spans="1:11">
      <c r="A291" s="24">
        <f t="shared" si="33"/>
        <v>239</v>
      </c>
      <c r="B291" s="25">
        <f t="shared" si="34"/>
        <v>39276.628156023682</v>
      </c>
      <c r="C291" s="37">
        <f t="shared" si="35"/>
        <v>723.37184397643671</v>
      </c>
      <c r="D291" s="27">
        <f t="shared" si="30"/>
        <v>40000.000000000116</v>
      </c>
      <c r="E291" s="38">
        <f t="shared" si="36"/>
        <v>39636.663914133052</v>
      </c>
      <c r="F291" s="39">
        <f t="shared" si="31"/>
        <v>5724375.103578099</v>
      </c>
      <c r="G291" s="39">
        <f t="shared" si="32"/>
        <v>3835624.8964219331</v>
      </c>
      <c r="K291" s="8">
        <v>20</v>
      </c>
    </row>
    <row r="292" spans="1:11">
      <c r="A292" s="24">
        <f t="shared" si="33"/>
        <v>240</v>
      </c>
      <c r="B292" s="25">
        <f t="shared" si="34"/>
        <v>39636.663914120567</v>
      </c>
      <c r="C292" s="37">
        <f t="shared" si="35"/>
        <v>363.33608587955297</v>
      </c>
      <c r="D292" s="27">
        <f t="shared" si="30"/>
        <v>40000.000000000116</v>
      </c>
      <c r="E292" s="38">
        <f t="shared" si="36"/>
        <v>1.2485543265938759E-8</v>
      </c>
      <c r="F292" s="39">
        <f t="shared" si="31"/>
        <v>5724738.4396639783</v>
      </c>
      <c r="G292" s="39">
        <f t="shared" si="32"/>
        <v>3875261.5603360538</v>
      </c>
      <c r="K292" s="8">
        <v>20</v>
      </c>
    </row>
    <row r="293" spans="1:11">
      <c r="A293" s="24">
        <f t="shared" si="33"/>
        <v>241</v>
      </c>
      <c r="B293" s="25">
        <f t="shared" si="34"/>
        <v>0</v>
      </c>
      <c r="C293" s="37">
        <f t="shared" si="35"/>
        <v>0</v>
      </c>
      <c r="D293" s="27">
        <f t="shared" si="30"/>
        <v>0</v>
      </c>
      <c r="E293" s="38">
        <f t="shared" si="36"/>
        <v>0</v>
      </c>
      <c r="F293" s="39">
        <f t="shared" si="31"/>
        <v>0</v>
      </c>
      <c r="G293" s="39">
        <f t="shared" si="32"/>
        <v>0</v>
      </c>
      <c r="K293" s="8">
        <v>21</v>
      </c>
    </row>
    <row r="294" spans="1:11">
      <c r="A294" s="24">
        <f t="shared" si="33"/>
        <v>242</v>
      </c>
      <c r="B294" s="25">
        <f t="shared" si="34"/>
        <v>0</v>
      </c>
      <c r="C294" s="37">
        <f t="shared" si="35"/>
        <v>0</v>
      </c>
      <c r="D294" s="27">
        <f t="shared" si="30"/>
        <v>0</v>
      </c>
      <c r="E294" s="38">
        <f t="shared" si="36"/>
        <v>0</v>
      </c>
      <c r="F294" s="39">
        <f t="shared" si="31"/>
        <v>0</v>
      </c>
      <c r="G294" s="39">
        <f t="shared" si="32"/>
        <v>0</v>
      </c>
      <c r="K294" s="8">
        <v>21</v>
      </c>
    </row>
    <row r="295" spans="1:11">
      <c r="A295" s="24">
        <f t="shared" si="33"/>
        <v>243</v>
      </c>
      <c r="B295" s="25">
        <f t="shared" si="34"/>
        <v>0</v>
      </c>
      <c r="C295" s="37">
        <f t="shared" si="35"/>
        <v>0</v>
      </c>
      <c r="D295" s="27">
        <f t="shared" si="30"/>
        <v>0</v>
      </c>
      <c r="E295" s="38">
        <f t="shared" si="36"/>
        <v>0</v>
      </c>
      <c r="F295" s="39">
        <f t="shared" si="31"/>
        <v>0</v>
      </c>
      <c r="G295" s="39">
        <f t="shared" si="32"/>
        <v>0</v>
      </c>
      <c r="K295" s="8">
        <v>21</v>
      </c>
    </row>
    <row r="296" spans="1:11">
      <c r="A296" s="24">
        <f t="shared" si="33"/>
        <v>244</v>
      </c>
      <c r="B296" s="25">
        <f t="shared" si="34"/>
        <v>0</v>
      </c>
      <c r="C296" s="37">
        <f t="shared" si="35"/>
        <v>0</v>
      </c>
      <c r="D296" s="27">
        <f t="shared" si="30"/>
        <v>0</v>
      </c>
      <c r="E296" s="38">
        <f t="shared" si="36"/>
        <v>0</v>
      </c>
      <c r="F296" s="39">
        <f t="shared" si="31"/>
        <v>0</v>
      </c>
      <c r="G296" s="39">
        <f t="shared" si="32"/>
        <v>0</v>
      </c>
      <c r="K296" s="8">
        <v>21</v>
      </c>
    </row>
    <row r="297" spans="1:11">
      <c r="A297" s="24">
        <f t="shared" si="33"/>
        <v>245</v>
      </c>
      <c r="B297" s="25">
        <f t="shared" si="34"/>
        <v>0</v>
      </c>
      <c r="C297" s="37">
        <f t="shared" si="35"/>
        <v>0</v>
      </c>
      <c r="D297" s="27">
        <f t="shared" si="30"/>
        <v>0</v>
      </c>
      <c r="E297" s="38">
        <f t="shared" si="36"/>
        <v>0</v>
      </c>
      <c r="F297" s="39">
        <f t="shared" si="31"/>
        <v>0</v>
      </c>
      <c r="G297" s="39">
        <f t="shared" si="32"/>
        <v>0</v>
      </c>
      <c r="K297" s="8">
        <v>21</v>
      </c>
    </row>
    <row r="298" spans="1:11">
      <c r="A298" s="24">
        <f t="shared" si="33"/>
        <v>246</v>
      </c>
      <c r="B298" s="25">
        <f t="shared" si="34"/>
        <v>0</v>
      </c>
      <c r="C298" s="37">
        <f t="shared" si="35"/>
        <v>0</v>
      </c>
      <c r="D298" s="27">
        <f t="shared" si="30"/>
        <v>0</v>
      </c>
      <c r="E298" s="38">
        <f t="shared" si="36"/>
        <v>0</v>
      </c>
      <c r="F298" s="39">
        <f t="shared" si="31"/>
        <v>0</v>
      </c>
      <c r="G298" s="39">
        <f t="shared" si="32"/>
        <v>0</v>
      </c>
      <c r="K298" s="8">
        <v>21</v>
      </c>
    </row>
    <row r="299" spans="1:11">
      <c r="A299" s="24">
        <f t="shared" si="33"/>
        <v>247</v>
      </c>
      <c r="B299" s="25">
        <f t="shared" si="34"/>
        <v>0</v>
      </c>
      <c r="C299" s="37">
        <f t="shared" si="35"/>
        <v>0</v>
      </c>
      <c r="D299" s="27">
        <f t="shared" si="30"/>
        <v>0</v>
      </c>
      <c r="E299" s="38">
        <f t="shared" si="36"/>
        <v>0</v>
      </c>
      <c r="F299" s="39">
        <f t="shared" si="31"/>
        <v>0</v>
      </c>
      <c r="G299" s="39">
        <f t="shared" si="32"/>
        <v>0</v>
      </c>
      <c r="K299" s="8">
        <v>21</v>
      </c>
    </row>
    <row r="300" spans="1:11">
      <c r="A300" s="24">
        <f t="shared" si="33"/>
        <v>248</v>
      </c>
      <c r="B300" s="25">
        <f t="shared" si="34"/>
        <v>0</v>
      </c>
      <c r="C300" s="37">
        <f t="shared" si="35"/>
        <v>0</v>
      </c>
      <c r="D300" s="27">
        <f t="shared" si="30"/>
        <v>0</v>
      </c>
      <c r="E300" s="38">
        <f t="shared" si="36"/>
        <v>0</v>
      </c>
      <c r="F300" s="39">
        <f t="shared" si="31"/>
        <v>0</v>
      </c>
      <c r="G300" s="39">
        <f t="shared" si="32"/>
        <v>0</v>
      </c>
      <c r="K300" s="8">
        <v>21</v>
      </c>
    </row>
    <row r="301" spans="1:11">
      <c r="A301" s="24">
        <f t="shared" si="33"/>
        <v>249</v>
      </c>
      <c r="B301" s="25">
        <f t="shared" si="34"/>
        <v>0</v>
      </c>
      <c r="C301" s="37">
        <f t="shared" si="35"/>
        <v>0</v>
      </c>
      <c r="D301" s="27">
        <f t="shared" si="30"/>
        <v>0</v>
      </c>
      <c r="E301" s="38">
        <f t="shared" si="36"/>
        <v>0</v>
      </c>
      <c r="F301" s="39">
        <f t="shared" si="31"/>
        <v>0</v>
      </c>
      <c r="G301" s="39">
        <f t="shared" si="32"/>
        <v>0</v>
      </c>
      <c r="K301" s="8">
        <v>21</v>
      </c>
    </row>
    <row r="302" spans="1:11">
      <c r="A302" s="24">
        <f t="shared" si="33"/>
        <v>250</v>
      </c>
      <c r="B302" s="25">
        <f t="shared" si="34"/>
        <v>0</v>
      </c>
      <c r="C302" s="37">
        <f t="shared" si="35"/>
        <v>0</v>
      </c>
      <c r="D302" s="27">
        <f t="shared" si="30"/>
        <v>0</v>
      </c>
      <c r="E302" s="38">
        <f t="shared" si="36"/>
        <v>0</v>
      </c>
      <c r="F302" s="39">
        <f t="shared" si="31"/>
        <v>0</v>
      </c>
      <c r="G302" s="39">
        <f t="shared" si="32"/>
        <v>0</v>
      </c>
      <c r="K302" s="8">
        <v>21</v>
      </c>
    </row>
    <row r="303" spans="1:11">
      <c r="A303" s="24">
        <f t="shared" si="33"/>
        <v>251</v>
      </c>
      <c r="B303" s="25">
        <f t="shared" si="34"/>
        <v>0</v>
      </c>
      <c r="C303" s="37">
        <f t="shared" si="35"/>
        <v>0</v>
      </c>
      <c r="D303" s="27">
        <f t="shared" si="30"/>
        <v>0</v>
      </c>
      <c r="E303" s="38">
        <f t="shared" si="36"/>
        <v>0</v>
      </c>
      <c r="F303" s="39">
        <f t="shared" si="31"/>
        <v>0</v>
      </c>
      <c r="G303" s="39">
        <f t="shared" si="32"/>
        <v>0</v>
      </c>
      <c r="K303" s="8">
        <v>21</v>
      </c>
    </row>
    <row r="304" spans="1:11">
      <c r="A304" s="24">
        <f t="shared" si="33"/>
        <v>252</v>
      </c>
      <c r="B304" s="25">
        <f t="shared" si="34"/>
        <v>0</v>
      </c>
      <c r="C304" s="37">
        <f t="shared" si="35"/>
        <v>0</v>
      </c>
      <c r="D304" s="27">
        <f t="shared" si="30"/>
        <v>0</v>
      </c>
      <c r="E304" s="38">
        <f t="shared" si="36"/>
        <v>0</v>
      </c>
      <c r="F304" s="39">
        <f t="shared" si="31"/>
        <v>0</v>
      </c>
      <c r="G304" s="39">
        <f t="shared" si="32"/>
        <v>0</v>
      </c>
      <c r="K304" s="8">
        <v>21</v>
      </c>
    </row>
    <row r="305" spans="1:11">
      <c r="A305" s="24">
        <f t="shared" si="33"/>
        <v>253</v>
      </c>
      <c r="B305" s="25">
        <f t="shared" si="34"/>
        <v>0</v>
      </c>
      <c r="C305" s="37">
        <f t="shared" si="35"/>
        <v>0</v>
      </c>
      <c r="D305" s="27">
        <f t="shared" si="30"/>
        <v>0</v>
      </c>
      <c r="E305" s="38">
        <f t="shared" si="36"/>
        <v>0</v>
      </c>
      <c r="F305" s="39">
        <f t="shared" si="31"/>
        <v>0</v>
      </c>
      <c r="G305" s="39">
        <f t="shared" si="32"/>
        <v>0</v>
      </c>
      <c r="K305" s="8">
        <v>22</v>
      </c>
    </row>
    <row r="306" spans="1:11">
      <c r="A306" s="24">
        <f t="shared" si="33"/>
        <v>254</v>
      </c>
      <c r="B306" s="25">
        <f t="shared" si="34"/>
        <v>0</v>
      </c>
      <c r="C306" s="37">
        <f t="shared" si="35"/>
        <v>0</v>
      </c>
      <c r="D306" s="27">
        <f t="shared" si="30"/>
        <v>0</v>
      </c>
      <c r="E306" s="38">
        <f t="shared" si="36"/>
        <v>0</v>
      </c>
      <c r="F306" s="39">
        <f t="shared" si="31"/>
        <v>0</v>
      </c>
      <c r="G306" s="39">
        <f t="shared" si="32"/>
        <v>0</v>
      </c>
      <c r="K306" s="8">
        <v>22</v>
      </c>
    </row>
    <row r="307" spans="1:11">
      <c r="A307" s="24">
        <f t="shared" si="33"/>
        <v>255</v>
      </c>
      <c r="B307" s="25">
        <f t="shared" si="34"/>
        <v>0</v>
      </c>
      <c r="C307" s="37">
        <f t="shared" si="35"/>
        <v>0</v>
      </c>
      <c r="D307" s="27">
        <f t="shared" si="30"/>
        <v>0</v>
      </c>
      <c r="E307" s="38">
        <f t="shared" si="36"/>
        <v>0</v>
      </c>
      <c r="F307" s="39">
        <f t="shared" si="31"/>
        <v>0</v>
      </c>
      <c r="G307" s="39">
        <f t="shared" si="32"/>
        <v>0</v>
      </c>
      <c r="K307" s="8">
        <v>22</v>
      </c>
    </row>
    <row r="308" spans="1:11">
      <c r="A308" s="24">
        <f t="shared" si="33"/>
        <v>256</v>
      </c>
      <c r="B308" s="25">
        <f t="shared" si="34"/>
        <v>0</v>
      </c>
      <c r="C308" s="37">
        <f t="shared" si="35"/>
        <v>0</v>
      </c>
      <c r="D308" s="27">
        <f t="shared" si="30"/>
        <v>0</v>
      </c>
      <c r="E308" s="38">
        <f t="shared" si="36"/>
        <v>0</v>
      </c>
      <c r="F308" s="39">
        <f t="shared" si="31"/>
        <v>0</v>
      </c>
      <c r="G308" s="39">
        <f t="shared" si="32"/>
        <v>0</v>
      </c>
      <c r="K308" s="8">
        <v>22</v>
      </c>
    </row>
    <row r="309" spans="1:11">
      <c r="A309" s="24">
        <f t="shared" si="33"/>
        <v>257</v>
      </c>
      <c r="B309" s="25">
        <f t="shared" si="34"/>
        <v>0</v>
      </c>
      <c r="C309" s="37">
        <f t="shared" si="35"/>
        <v>0</v>
      </c>
      <c r="D309" s="27">
        <f t="shared" ref="D309:D372" si="37">IF(A309&lt;=$C$6*12, $C$10, 0)</f>
        <v>0</v>
      </c>
      <c r="E309" s="38">
        <f t="shared" si="36"/>
        <v>0</v>
      </c>
      <c r="F309" s="39">
        <f t="shared" si="31"/>
        <v>0</v>
      </c>
      <c r="G309" s="39">
        <f t="shared" si="32"/>
        <v>0</v>
      </c>
      <c r="K309" s="8">
        <v>22</v>
      </c>
    </row>
    <row r="310" spans="1:11">
      <c r="A310" s="24">
        <f t="shared" si="33"/>
        <v>258</v>
      </c>
      <c r="B310" s="25">
        <f t="shared" si="34"/>
        <v>0</v>
      </c>
      <c r="C310" s="37">
        <f t="shared" si="35"/>
        <v>0</v>
      </c>
      <c r="D310" s="27">
        <f t="shared" si="37"/>
        <v>0</v>
      </c>
      <c r="E310" s="38">
        <f t="shared" si="36"/>
        <v>0</v>
      </c>
      <c r="F310" s="39">
        <f t="shared" ref="F310:F373" si="38">IF(A310&lt;=$C$6*12, F309+C310, 0)</f>
        <v>0</v>
      </c>
      <c r="G310" s="39">
        <f t="shared" ref="G310:G373" si="39">IF(A310&lt;=$C$6*12, G309+B310, 0)</f>
        <v>0</v>
      </c>
      <c r="K310" s="8">
        <v>22</v>
      </c>
    </row>
    <row r="311" spans="1:11">
      <c r="A311" s="24">
        <f t="shared" ref="A311:A374" si="40">A310+1</f>
        <v>259</v>
      </c>
      <c r="B311" s="25">
        <f t="shared" ref="B311:B374" si="41">IF(A310&lt;=$C$6*12,D311-C311,0)</f>
        <v>0</v>
      </c>
      <c r="C311" s="37">
        <f t="shared" ref="C311:C374" si="42">IF(A311&lt;=$C$6*12, E310*$C$5/12, 0)</f>
        <v>0</v>
      </c>
      <c r="D311" s="27">
        <f t="shared" si="37"/>
        <v>0</v>
      </c>
      <c r="E311" s="38">
        <f t="shared" ref="E311:E374" si="43">IF(A311&lt;=$C$6*12, E310-B311, 0)</f>
        <v>0</v>
      </c>
      <c r="F311" s="39">
        <f t="shared" si="38"/>
        <v>0</v>
      </c>
      <c r="G311" s="39">
        <f t="shared" si="39"/>
        <v>0</v>
      </c>
      <c r="K311" s="8">
        <v>22</v>
      </c>
    </row>
    <row r="312" spans="1:11">
      <c r="A312" s="24">
        <f t="shared" si="40"/>
        <v>260</v>
      </c>
      <c r="B312" s="25">
        <f t="shared" si="41"/>
        <v>0</v>
      </c>
      <c r="C312" s="37">
        <f t="shared" si="42"/>
        <v>0</v>
      </c>
      <c r="D312" s="27">
        <f t="shared" si="37"/>
        <v>0</v>
      </c>
      <c r="E312" s="38">
        <f t="shared" si="43"/>
        <v>0</v>
      </c>
      <c r="F312" s="39">
        <f t="shared" si="38"/>
        <v>0</v>
      </c>
      <c r="G312" s="39">
        <f t="shared" si="39"/>
        <v>0</v>
      </c>
      <c r="K312" s="8">
        <v>22</v>
      </c>
    </row>
    <row r="313" spans="1:11">
      <c r="A313" s="24">
        <f t="shared" si="40"/>
        <v>261</v>
      </c>
      <c r="B313" s="25">
        <f t="shared" si="41"/>
        <v>0</v>
      </c>
      <c r="C313" s="37">
        <f t="shared" si="42"/>
        <v>0</v>
      </c>
      <c r="D313" s="27">
        <f t="shared" si="37"/>
        <v>0</v>
      </c>
      <c r="E313" s="38">
        <f t="shared" si="43"/>
        <v>0</v>
      </c>
      <c r="F313" s="39">
        <f t="shared" si="38"/>
        <v>0</v>
      </c>
      <c r="G313" s="39">
        <f t="shared" si="39"/>
        <v>0</v>
      </c>
      <c r="K313" s="8">
        <v>22</v>
      </c>
    </row>
    <row r="314" spans="1:11">
      <c r="A314" s="24">
        <f t="shared" si="40"/>
        <v>262</v>
      </c>
      <c r="B314" s="25">
        <f t="shared" si="41"/>
        <v>0</v>
      </c>
      <c r="C314" s="37">
        <f t="shared" si="42"/>
        <v>0</v>
      </c>
      <c r="D314" s="27">
        <f t="shared" si="37"/>
        <v>0</v>
      </c>
      <c r="E314" s="38">
        <f t="shared" si="43"/>
        <v>0</v>
      </c>
      <c r="F314" s="39">
        <f t="shared" si="38"/>
        <v>0</v>
      </c>
      <c r="G314" s="39">
        <f t="shared" si="39"/>
        <v>0</v>
      </c>
      <c r="K314" s="8">
        <v>22</v>
      </c>
    </row>
    <row r="315" spans="1:11">
      <c r="A315" s="24">
        <f t="shared" si="40"/>
        <v>263</v>
      </c>
      <c r="B315" s="25">
        <f t="shared" si="41"/>
        <v>0</v>
      </c>
      <c r="C315" s="37">
        <f t="shared" si="42"/>
        <v>0</v>
      </c>
      <c r="D315" s="27">
        <f t="shared" si="37"/>
        <v>0</v>
      </c>
      <c r="E315" s="38">
        <f t="shared" si="43"/>
        <v>0</v>
      </c>
      <c r="F315" s="39">
        <f t="shared" si="38"/>
        <v>0</v>
      </c>
      <c r="G315" s="39">
        <f t="shared" si="39"/>
        <v>0</v>
      </c>
      <c r="K315" s="8">
        <v>22</v>
      </c>
    </row>
    <row r="316" spans="1:11">
      <c r="A316" s="24">
        <f t="shared" si="40"/>
        <v>264</v>
      </c>
      <c r="B316" s="25">
        <f t="shared" si="41"/>
        <v>0</v>
      </c>
      <c r="C316" s="37">
        <f t="shared" si="42"/>
        <v>0</v>
      </c>
      <c r="D316" s="27">
        <f t="shared" si="37"/>
        <v>0</v>
      </c>
      <c r="E316" s="38">
        <f t="shared" si="43"/>
        <v>0</v>
      </c>
      <c r="F316" s="39">
        <f t="shared" si="38"/>
        <v>0</v>
      </c>
      <c r="G316" s="39">
        <f t="shared" si="39"/>
        <v>0</v>
      </c>
      <c r="K316" s="8">
        <v>22</v>
      </c>
    </row>
    <row r="317" spans="1:11">
      <c r="A317" s="24">
        <f t="shared" si="40"/>
        <v>265</v>
      </c>
      <c r="B317" s="25">
        <f t="shared" si="41"/>
        <v>0</v>
      </c>
      <c r="C317" s="37">
        <f t="shared" si="42"/>
        <v>0</v>
      </c>
      <c r="D317" s="27">
        <f t="shared" si="37"/>
        <v>0</v>
      </c>
      <c r="E317" s="38">
        <f t="shared" si="43"/>
        <v>0</v>
      </c>
      <c r="F317" s="39">
        <f t="shared" si="38"/>
        <v>0</v>
      </c>
      <c r="G317" s="39">
        <f t="shared" si="39"/>
        <v>0</v>
      </c>
      <c r="K317" s="8">
        <v>23</v>
      </c>
    </row>
    <row r="318" spans="1:11">
      <c r="A318" s="24">
        <f t="shared" si="40"/>
        <v>266</v>
      </c>
      <c r="B318" s="25">
        <f t="shared" si="41"/>
        <v>0</v>
      </c>
      <c r="C318" s="37">
        <f t="shared" si="42"/>
        <v>0</v>
      </c>
      <c r="D318" s="27">
        <f t="shared" si="37"/>
        <v>0</v>
      </c>
      <c r="E318" s="38">
        <f t="shared" si="43"/>
        <v>0</v>
      </c>
      <c r="F318" s="39">
        <f t="shared" si="38"/>
        <v>0</v>
      </c>
      <c r="G318" s="39">
        <f t="shared" si="39"/>
        <v>0</v>
      </c>
      <c r="K318" s="8">
        <v>23</v>
      </c>
    </row>
    <row r="319" spans="1:11">
      <c r="A319" s="24">
        <f t="shared" si="40"/>
        <v>267</v>
      </c>
      <c r="B319" s="25">
        <f t="shared" si="41"/>
        <v>0</v>
      </c>
      <c r="C319" s="37">
        <f t="shared" si="42"/>
        <v>0</v>
      </c>
      <c r="D319" s="27">
        <f t="shared" si="37"/>
        <v>0</v>
      </c>
      <c r="E319" s="38">
        <f t="shared" si="43"/>
        <v>0</v>
      </c>
      <c r="F319" s="39">
        <f t="shared" si="38"/>
        <v>0</v>
      </c>
      <c r="G319" s="39">
        <f t="shared" si="39"/>
        <v>0</v>
      </c>
      <c r="K319" s="8">
        <v>23</v>
      </c>
    </row>
    <row r="320" spans="1:11">
      <c r="A320" s="24">
        <f t="shared" si="40"/>
        <v>268</v>
      </c>
      <c r="B320" s="25">
        <f t="shared" si="41"/>
        <v>0</v>
      </c>
      <c r="C320" s="37">
        <f t="shared" si="42"/>
        <v>0</v>
      </c>
      <c r="D320" s="27">
        <f t="shared" si="37"/>
        <v>0</v>
      </c>
      <c r="E320" s="38">
        <f t="shared" si="43"/>
        <v>0</v>
      </c>
      <c r="F320" s="39">
        <f t="shared" si="38"/>
        <v>0</v>
      </c>
      <c r="G320" s="39">
        <f t="shared" si="39"/>
        <v>0</v>
      </c>
      <c r="K320" s="8">
        <v>23</v>
      </c>
    </row>
    <row r="321" spans="1:11">
      <c r="A321" s="24">
        <f t="shared" si="40"/>
        <v>269</v>
      </c>
      <c r="B321" s="25">
        <f t="shared" si="41"/>
        <v>0</v>
      </c>
      <c r="C321" s="37">
        <f t="shared" si="42"/>
        <v>0</v>
      </c>
      <c r="D321" s="27">
        <f t="shared" si="37"/>
        <v>0</v>
      </c>
      <c r="E321" s="38">
        <f t="shared" si="43"/>
        <v>0</v>
      </c>
      <c r="F321" s="39">
        <f t="shared" si="38"/>
        <v>0</v>
      </c>
      <c r="G321" s="39">
        <f t="shared" si="39"/>
        <v>0</v>
      </c>
      <c r="K321" s="8">
        <v>23</v>
      </c>
    </row>
    <row r="322" spans="1:11">
      <c r="A322" s="24">
        <f t="shared" si="40"/>
        <v>270</v>
      </c>
      <c r="B322" s="25">
        <f t="shared" si="41"/>
        <v>0</v>
      </c>
      <c r="C322" s="37">
        <f t="shared" si="42"/>
        <v>0</v>
      </c>
      <c r="D322" s="27">
        <f t="shared" si="37"/>
        <v>0</v>
      </c>
      <c r="E322" s="38">
        <f t="shared" si="43"/>
        <v>0</v>
      </c>
      <c r="F322" s="39">
        <f t="shared" si="38"/>
        <v>0</v>
      </c>
      <c r="G322" s="39">
        <f t="shared" si="39"/>
        <v>0</v>
      </c>
      <c r="K322" s="8">
        <v>23</v>
      </c>
    </row>
    <row r="323" spans="1:11">
      <c r="A323" s="24">
        <f t="shared" si="40"/>
        <v>271</v>
      </c>
      <c r="B323" s="25">
        <f t="shared" si="41"/>
        <v>0</v>
      </c>
      <c r="C323" s="37">
        <f t="shared" si="42"/>
        <v>0</v>
      </c>
      <c r="D323" s="27">
        <f t="shared" si="37"/>
        <v>0</v>
      </c>
      <c r="E323" s="38">
        <f t="shared" si="43"/>
        <v>0</v>
      </c>
      <c r="F323" s="39">
        <f t="shared" si="38"/>
        <v>0</v>
      </c>
      <c r="G323" s="39">
        <f t="shared" si="39"/>
        <v>0</v>
      </c>
      <c r="K323" s="8">
        <v>23</v>
      </c>
    </row>
    <row r="324" spans="1:11">
      <c r="A324" s="24">
        <f t="shared" si="40"/>
        <v>272</v>
      </c>
      <c r="B324" s="25">
        <f t="shared" si="41"/>
        <v>0</v>
      </c>
      <c r="C324" s="37">
        <f t="shared" si="42"/>
        <v>0</v>
      </c>
      <c r="D324" s="27">
        <f t="shared" si="37"/>
        <v>0</v>
      </c>
      <c r="E324" s="38">
        <f t="shared" si="43"/>
        <v>0</v>
      </c>
      <c r="F324" s="39">
        <f t="shared" si="38"/>
        <v>0</v>
      </c>
      <c r="G324" s="39">
        <f t="shared" si="39"/>
        <v>0</v>
      </c>
      <c r="K324" s="8">
        <v>23</v>
      </c>
    </row>
    <row r="325" spans="1:11">
      <c r="A325" s="24">
        <f t="shared" si="40"/>
        <v>273</v>
      </c>
      <c r="B325" s="25">
        <f t="shared" si="41"/>
        <v>0</v>
      </c>
      <c r="C325" s="37">
        <f t="shared" si="42"/>
        <v>0</v>
      </c>
      <c r="D325" s="27">
        <f t="shared" si="37"/>
        <v>0</v>
      </c>
      <c r="E325" s="38">
        <f t="shared" si="43"/>
        <v>0</v>
      </c>
      <c r="F325" s="39">
        <f t="shared" si="38"/>
        <v>0</v>
      </c>
      <c r="G325" s="39">
        <f t="shared" si="39"/>
        <v>0</v>
      </c>
      <c r="K325" s="8">
        <v>23</v>
      </c>
    </row>
    <row r="326" spans="1:11">
      <c r="A326" s="24">
        <f t="shared" si="40"/>
        <v>274</v>
      </c>
      <c r="B326" s="25">
        <f t="shared" si="41"/>
        <v>0</v>
      </c>
      <c r="C326" s="37">
        <f t="shared" si="42"/>
        <v>0</v>
      </c>
      <c r="D326" s="27">
        <f t="shared" si="37"/>
        <v>0</v>
      </c>
      <c r="E326" s="38">
        <f t="shared" si="43"/>
        <v>0</v>
      </c>
      <c r="F326" s="39">
        <f t="shared" si="38"/>
        <v>0</v>
      </c>
      <c r="G326" s="39">
        <f t="shared" si="39"/>
        <v>0</v>
      </c>
      <c r="K326" s="8">
        <v>23</v>
      </c>
    </row>
    <row r="327" spans="1:11">
      <c r="A327" s="24">
        <f t="shared" si="40"/>
        <v>275</v>
      </c>
      <c r="B327" s="25">
        <f t="shared" si="41"/>
        <v>0</v>
      </c>
      <c r="C327" s="37">
        <f t="shared" si="42"/>
        <v>0</v>
      </c>
      <c r="D327" s="27">
        <f t="shared" si="37"/>
        <v>0</v>
      </c>
      <c r="E327" s="38">
        <f t="shared" si="43"/>
        <v>0</v>
      </c>
      <c r="F327" s="39">
        <f t="shared" si="38"/>
        <v>0</v>
      </c>
      <c r="G327" s="39">
        <f t="shared" si="39"/>
        <v>0</v>
      </c>
      <c r="K327" s="8">
        <v>23</v>
      </c>
    </row>
    <row r="328" spans="1:11">
      <c r="A328" s="24">
        <f t="shared" si="40"/>
        <v>276</v>
      </c>
      <c r="B328" s="25">
        <f t="shared" si="41"/>
        <v>0</v>
      </c>
      <c r="C328" s="37">
        <f t="shared" si="42"/>
        <v>0</v>
      </c>
      <c r="D328" s="27">
        <f t="shared" si="37"/>
        <v>0</v>
      </c>
      <c r="E328" s="38">
        <f t="shared" si="43"/>
        <v>0</v>
      </c>
      <c r="F328" s="39">
        <f t="shared" si="38"/>
        <v>0</v>
      </c>
      <c r="G328" s="39">
        <f t="shared" si="39"/>
        <v>0</v>
      </c>
      <c r="K328" s="8">
        <v>23</v>
      </c>
    </row>
    <row r="329" spans="1:11">
      <c r="A329" s="24">
        <f t="shared" si="40"/>
        <v>277</v>
      </c>
      <c r="B329" s="25">
        <f t="shared" si="41"/>
        <v>0</v>
      </c>
      <c r="C329" s="37">
        <f t="shared" si="42"/>
        <v>0</v>
      </c>
      <c r="D329" s="27">
        <f t="shared" si="37"/>
        <v>0</v>
      </c>
      <c r="E329" s="38">
        <f t="shared" si="43"/>
        <v>0</v>
      </c>
      <c r="F329" s="39">
        <f t="shared" si="38"/>
        <v>0</v>
      </c>
      <c r="G329" s="39">
        <f t="shared" si="39"/>
        <v>0</v>
      </c>
      <c r="K329" s="8">
        <v>24</v>
      </c>
    </row>
    <row r="330" spans="1:11">
      <c r="A330" s="24">
        <f t="shared" si="40"/>
        <v>278</v>
      </c>
      <c r="B330" s="25">
        <f t="shared" si="41"/>
        <v>0</v>
      </c>
      <c r="C330" s="37">
        <f t="shared" si="42"/>
        <v>0</v>
      </c>
      <c r="D330" s="27">
        <f t="shared" si="37"/>
        <v>0</v>
      </c>
      <c r="E330" s="38">
        <f t="shared" si="43"/>
        <v>0</v>
      </c>
      <c r="F330" s="39">
        <f t="shared" si="38"/>
        <v>0</v>
      </c>
      <c r="G330" s="39">
        <f t="shared" si="39"/>
        <v>0</v>
      </c>
      <c r="K330" s="8">
        <v>24</v>
      </c>
    </row>
    <row r="331" spans="1:11">
      <c r="A331" s="24">
        <f t="shared" si="40"/>
        <v>279</v>
      </c>
      <c r="B331" s="25">
        <f t="shared" si="41"/>
        <v>0</v>
      </c>
      <c r="C331" s="37">
        <f t="shared" si="42"/>
        <v>0</v>
      </c>
      <c r="D331" s="27">
        <f t="shared" si="37"/>
        <v>0</v>
      </c>
      <c r="E331" s="38">
        <f t="shared" si="43"/>
        <v>0</v>
      </c>
      <c r="F331" s="39">
        <f t="shared" si="38"/>
        <v>0</v>
      </c>
      <c r="G331" s="39">
        <f t="shared" si="39"/>
        <v>0</v>
      </c>
      <c r="K331" s="8">
        <v>24</v>
      </c>
    </row>
    <row r="332" spans="1:11">
      <c r="A332" s="24">
        <f t="shared" si="40"/>
        <v>280</v>
      </c>
      <c r="B332" s="25">
        <f t="shared" si="41"/>
        <v>0</v>
      </c>
      <c r="C332" s="37">
        <f t="shared" si="42"/>
        <v>0</v>
      </c>
      <c r="D332" s="27">
        <f t="shared" si="37"/>
        <v>0</v>
      </c>
      <c r="E332" s="38">
        <f t="shared" si="43"/>
        <v>0</v>
      </c>
      <c r="F332" s="39">
        <f t="shared" si="38"/>
        <v>0</v>
      </c>
      <c r="G332" s="39">
        <f t="shared" si="39"/>
        <v>0</v>
      </c>
      <c r="K332" s="8">
        <v>24</v>
      </c>
    </row>
    <row r="333" spans="1:11">
      <c r="A333" s="24">
        <f t="shared" si="40"/>
        <v>281</v>
      </c>
      <c r="B333" s="25">
        <f t="shared" si="41"/>
        <v>0</v>
      </c>
      <c r="C333" s="37">
        <f t="shared" si="42"/>
        <v>0</v>
      </c>
      <c r="D333" s="27">
        <f t="shared" si="37"/>
        <v>0</v>
      </c>
      <c r="E333" s="38">
        <f t="shared" si="43"/>
        <v>0</v>
      </c>
      <c r="F333" s="39">
        <f t="shared" si="38"/>
        <v>0</v>
      </c>
      <c r="G333" s="39">
        <f t="shared" si="39"/>
        <v>0</v>
      </c>
      <c r="K333" s="8">
        <v>24</v>
      </c>
    </row>
    <row r="334" spans="1:11">
      <c r="A334" s="24">
        <f t="shared" si="40"/>
        <v>282</v>
      </c>
      <c r="B334" s="25">
        <f t="shared" si="41"/>
        <v>0</v>
      </c>
      <c r="C334" s="37">
        <f t="shared" si="42"/>
        <v>0</v>
      </c>
      <c r="D334" s="27">
        <f t="shared" si="37"/>
        <v>0</v>
      </c>
      <c r="E334" s="38">
        <f t="shared" si="43"/>
        <v>0</v>
      </c>
      <c r="F334" s="39">
        <f t="shared" si="38"/>
        <v>0</v>
      </c>
      <c r="G334" s="39">
        <f t="shared" si="39"/>
        <v>0</v>
      </c>
      <c r="K334" s="8">
        <v>24</v>
      </c>
    </row>
    <row r="335" spans="1:11">
      <c r="A335" s="24">
        <f t="shared" si="40"/>
        <v>283</v>
      </c>
      <c r="B335" s="25">
        <f t="shared" si="41"/>
        <v>0</v>
      </c>
      <c r="C335" s="37">
        <f t="shared" si="42"/>
        <v>0</v>
      </c>
      <c r="D335" s="27">
        <f t="shared" si="37"/>
        <v>0</v>
      </c>
      <c r="E335" s="38">
        <f t="shared" si="43"/>
        <v>0</v>
      </c>
      <c r="F335" s="39">
        <f t="shared" si="38"/>
        <v>0</v>
      </c>
      <c r="G335" s="39">
        <f t="shared" si="39"/>
        <v>0</v>
      </c>
      <c r="K335" s="8">
        <v>24</v>
      </c>
    </row>
    <row r="336" spans="1:11">
      <c r="A336" s="24">
        <f t="shared" si="40"/>
        <v>284</v>
      </c>
      <c r="B336" s="25">
        <f t="shared" si="41"/>
        <v>0</v>
      </c>
      <c r="C336" s="37">
        <f t="shared" si="42"/>
        <v>0</v>
      </c>
      <c r="D336" s="27">
        <f t="shared" si="37"/>
        <v>0</v>
      </c>
      <c r="E336" s="38">
        <f t="shared" si="43"/>
        <v>0</v>
      </c>
      <c r="F336" s="39">
        <f t="shared" si="38"/>
        <v>0</v>
      </c>
      <c r="G336" s="39">
        <f t="shared" si="39"/>
        <v>0</v>
      </c>
      <c r="K336" s="8">
        <v>24</v>
      </c>
    </row>
    <row r="337" spans="1:11">
      <c r="A337" s="24">
        <f t="shared" si="40"/>
        <v>285</v>
      </c>
      <c r="B337" s="25">
        <f t="shared" si="41"/>
        <v>0</v>
      </c>
      <c r="C337" s="37">
        <f t="shared" si="42"/>
        <v>0</v>
      </c>
      <c r="D337" s="27">
        <f t="shared" si="37"/>
        <v>0</v>
      </c>
      <c r="E337" s="38">
        <f t="shared" si="43"/>
        <v>0</v>
      </c>
      <c r="F337" s="39">
        <f t="shared" si="38"/>
        <v>0</v>
      </c>
      <c r="G337" s="39">
        <f t="shared" si="39"/>
        <v>0</v>
      </c>
      <c r="K337" s="8">
        <v>24</v>
      </c>
    </row>
    <row r="338" spans="1:11">
      <c r="A338" s="24">
        <f t="shared" si="40"/>
        <v>286</v>
      </c>
      <c r="B338" s="25">
        <f t="shared" si="41"/>
        <v>0</v>
      </c>
      <c r="C338" s="37">
        <f t="shared" si="42"/>
        <v>0</v>
      </c>
      <c r="D338" s="27">
        <f t="shared" si="37"/>
        <v>0</v>
      </c>
      <c r="E338" s="38">
        <f t="shared" si="43"/>
        <v>0</v>
      </c>
      <c r="F338" s="39">
        <f t="shared" si="38"/>
        <v>0</v>
      </c>
      <c r="G338" s="39">
        <f t="shared" si="39"/>
        <v>0</v>
      </c>
      <c r="K338" s="8">
        <v>24</v>
      </c>
    </row>
    <row r="339" spans="1:11">
      <c r="A339" s="24">
        <f t="shared" si="40"/>
        <v>287</v>
      </c>
      <c r="B339" s="25">
        <f t="shared" si="41"/>
        <v>0</v>
      </c>
      <c r="C339" s="37">
        <f t="shared" si="42"/>
        <v>0</v>
      </c>
      <c r="D339" s="27">
        <f t="shared" si="37"/>
        <v>0</v>
      </c>
      <c r="E339" s="38">
        <f t="shared" si="43"/>
        <v>0</v>
      </c>
      <c r="F339" s="39">
        <f t="shared" si="38"/>
        <v>0</v>
      </c>
      <c r="G339" s="39">
        <f t="shared" si="39"/>
        <v>0</v>
      </c>
      <c r="K339" s="8">
        <v>24</v>
      </c>
    </row>
    <row r="340" spans="1:11">
      <c r="A340" s="24">
        <f t="shared" si="40"/>
        <v>288</v>
      </c>
      <c r="B340" s="25">
        <f t="shared" si="41"/>
        <v>0</v>
      </c>
      <c r="C340" s="37">
        <f t="shared" si="42"/>
        <v>0</v>
      </c>
      <c r="D340" s="27">
        <f t="shared" si="37"/>
        <v>0</v>
      </c>
      <c r="E340" s="38">
        <f t="shared" si="43"/>
        <v>0</v>
      </c>
      <c r="F340" s="39">
        <f t="shared" si="38"/>
        <v>0</v>
      </c>
      <c r="G340" s="39">
        <f t="shared" si="39"/>
        <v>0</v>
      </c>
      <c r="K340" s="8">
        <v>24</v>
      </c>
    </row>
    <row r="341" spans="1:11">
      <c r="A341" s="24">
        <f t="shared" si="40"/>
        <v>289</v>
      </c>
      <c r="B341" s="25">
        <f t="shared" si="41"/>
        <v>0</v>
      </c>
      <c r="C341" s="37">
        <f t="shared" si="42"/>
        <v>0</v>
      </c>
      <c r="D341" s="27">
        <f t="shared" si="37"/>
        <v>0</v>
      </c>
      <c r="E341" s="38">
        <f t="shared" si="43"/>
        <v>0</v>
      </c>
      <c r="F341" s="39">
        <f t="shared" si="38"/>
        <v>0</v>
      </c>
      <c r="G341" s="39">
        <f t="shared" si="39"/>
        <v>0</v>
      </c>
      <c r="K341" s="8">
        <v>25</v>
      </c>
    </row>
    <row r="342" spans="1:11">
      <c r="A342" s="24">
        <f t="shared" si="40"/>
        <v>290</v>
      </c>
      <c r="B342" s="25">
        <f t="shared" si="41"/>
        <v>0</v>
      </c>
      <c r="C342" s="37">
        <f t="shared" si="42"/>
        <v>0</v>
      </c>
      <c r="D342" s="27">
        <f t="shared" si="37"/>
        <v>0</v>
      </c>
      <c r="E342" s="38">
        <f t="shared" si="43"/>
        <v>0</v>
      </c>
      <c r="F342" s="39">
        <f t="shared" si="38"/>
        <v>0</v>
      </c>
      <c r="G342" s="39">
        <f t="shared" si="39"/>
        <v>0</v>
      </c>
      <c r="K342" s="8">
        <v>25</v>
      </c>
    </row>
    <row r="343" spans="1:11">
      <c r="A343" s="24">
        <f t="shared" si="40"/>
        <v>291</v>
      </c>
      <c r="B343" s="25">
        <f t="shared" si="41"/>
        <v>0</v>
      </c>
      <c r="C343" s="37">
        <f t="shared" si="42"/>
        <v>0</v>
      </c>
      <c r="D343" s="27">
        <f t="shared" si="37"/>
        <v>0</v>
      </c>
      <c r="E343" s="38">
        <f t="shared" si="43"/>
        <v>0</v>
      </c>
      <c r="F343" s="39">
        <f t="shared" si="38"/>
        <v>0</v>
      </c>
      <c r="G343" s="39">
        <f t="shared" si="39"/>
        <v>0</v>
      </c>
      <c r="K343" s="8">
        <v>25</v>
      </c>
    </row>
    <row r="344" spans="1:11">
      <c r="A344" s="24">
        <f t="shared" si="40"/>
        <v>292</v>
      </c>
      <c r="B344" s="25">
        <f t="shared" si="41"/>
        <v>0</v>
      </c>
      <c r="C344" s="37">
        <f t="shared" si="42"/>
        <v>0</v>
      </c>
      <c r="D344" s="27">
        <f t="shared" si="37"/>
        <v>0</v>
      </c>
      <c r="E344" s="38">
        <f t="shared" si="43"/>
        <v>0</v>
      </c>
      <c r="F344" s="39">
        <f t="shared" si="38"/>
        <v>0</v>
      </c>
      <c r="G344" s="39">
        <f t="shared" si="39"/>
        <v>0</v>
      </c>
      <c r="K344" s="8">
        <v>25</v>
      </c>
    </row>
    <row r="345" spans="1:11">
      <c r="A345" s="24">
        <f t="shared" si="40"/>
        <v>293</v>
      </c>
      <c r="B345" s="25">
        <f t="shared" si="41"/>
        <v>0</v>
      </c>
      <c r="C345" s="37">
        <f t="shared" si="42"/>
        <v>0</v>
      </c>
      <c r="D345" s="27">
        <f t="shared" si="37"/>
        <v>0</v>
      </c>
      <c r="E345" s="38">
        <f t="shared" si="43"/>
        <v>0</v>
      </c>
      <c r="F345" s="39">
        <f t="shared" si="38"/>
        <v>0</v>
      </c>
      <c r="G345" s="39">
        <f t="shared" si="39"/>
        <v>0</v>
      </c>
      <c r="K345" s="8">
        <v>25</v>
      </c>
    </row>
    <row r="346" spans="1:11">
      <c r="A346" s="24">
        <f t="shared" si="40"/>
        <v>294</v>
      </c>
      <c r="B346" s="25">
        <f t="shared" si="41"/>
        <v>0</v>
      </c>
      <c r="C346" s="37">
        <f t="shared" si="42"/>
        <v>0</v>
      </c>
      <c r="D346" s="27">
        <f t="shared" si="37"/>
        <v>0</v>
      </c>
      <c r="E346" s="38">
        <f t="shared" si="43"/>
        <v>0</v>
      </c>
      <c r="F346" s="39">
        <f t="shared" si="38"/>
        <v>0</v>
      </c>
      <c r="G346" s="39">
        <f t="shared" si="39"/>
        <v>0</v>
      </c>
      <c r="K346" s="8">
        <v>25</v>
      </c>
    </row>
    <row r="347" spans="1:11">
      <c r="A347" s="24">
        <f t="shared" si="40"/>
        <v>295</v>
      </c>
      <c r="B347" s="25">
        <f t="shared" si="41"/>
        <v>0</v>
      </c>
      <c r="C347" s="37">
        <f t="shared" si="42"/>
        <v>0</v>
      </c>
      <c r="D347" s="27">
        <f t="shared" si="37"/>
        <v>0</v>
      </c>
      <c r="E347" s="38">
        <f t="shared" si="43"/>
        <v>0</v>
      </c>
      <c r="F347" s="39">
        <f t="shared" si="38"/>
        <v>0</v>
      </c>
      <c r="G347" s="39">
        <f t="shared" si="39"/>
        <v>0</v>
      </c>
      <c r="K347" s="8">
        <v>25</v>
      </c>
    </row>
    <row r="348" spans="1:11">
      <c r="A348" s="24">
        <f t="shared" si="40"/>
        <v>296</v>
      </c>
      <c r="B348" s="25">
        <f t="shared" si="41"/>
        <v>0</v>
      </c>
      <c r="C348" s="37">
        <f t="shared" si="42"/>
        <v>0</v>
      </c>
      <c r="D348" s="27">
        <f t="shared" si="37"/>
        <v>0</v>
      </c>
      <c r="E348" s="38">
        <f t="shared" si="43"/>
        <v>0</v>
      </c>
      <c r="F348" s="39">
        <f t="shared" si="38"/>
        <v>0</v>
      </c>
      <c r="G348" s="39">
        <f t="shared" si="39"/>
        <v>0</v>
      </c>
      <c r="K348" s="8">
        <v>25</v>
      </c>
    </row>
    <row r="349" spans="1:11">
      <c r="A349" s="24">
        <f t="shared" si="40"/>
        <v>297</v>
      </c>
      <c r="B349" s="25">
        <f t="shared" si="41"/>
        <v>0</v>
      </c>
      <c r="C349" s="37">
        <f t="shared" si="42"/>
        <v>0</v>
      </c>
      <c r="D349" s="27">
        <f t="shared" si="37"/>
        <v>0</v>
      </c>
      <c r="E349" s="38">
        <f t="shared" si="43"/>
        <v>0</v>
      </c>
      <c r="F349" s="39">
        <f t="shared" si="38"/>
        <v>0</v>
      </c>
      <c r="G349" s="39">
        <f t="shared" si="39"/>
        <v>0</v>
      </c>
      <c r="K349" s="8">
        <v>25</v>
      </c>
    </row>
    <row r="350" spans="1:11">
      <c r="A350" s="24">
        <f t="shared" si="40"/>
        <v>298</v>
      </c>
      <c r="B350" s="25">
        <f t="shared" si="41"/>
        <v>0</v>
      </c>
      <c r="C350" s="37">
        <f t="shared" si="42"/>
        <v>0</v>
      </c>
      <c r="D350" s="27">
        <f t="shared" si="37"/>
        <v>0</v>
      </c>
      <c r="E350" s="38">
        <f t="shared" si="43"/>
        <v>0</v>
      </c>
      <c r="F350" s="39">
        <f t="shared" si="38"/>
        <v>0</v>
      </c>
      <c r="G350" s="39">
        <f t="shared" si="39"/>
        <v>0</v>
      </c>
      <c r="K350" s="8">
        <v>25</v>
      </c>
    </row>
    <row r="351" spans="1:11">
      <c r="A351" s="24">
        <f t="shared" si="40"/>
        <v>299</v>
      </c>
      <c r="B351" s="25">
        <f t="shared" si="41"/>
        <v>0</v>
      </c>
      <c r="C351" s="37">
        <f t="shared" si="42"/>
        <v>0</v>
      </c>
      <c r="D351" s="27">
        <f t="shared" si="37"/>
        <v>0</v>
      </c>
      <c r="E351" s="38">
        <f t="shared" si="43"/>
        <v>0</v>
      </c>
      <c r="F351" s="39">
        <f t="shared" si="38"/>
        <v>0</v>
      </c>
      <c r="G351" s="39">
        <f t="shared" si="39"/>
        <v>0</v>
      </c>
      <c r="K351" s="8">
        <v>25</v>
      </c>
    </row>
    <row r="352" spans="1:11">
      <c r="A352" s="24">
        <f t="shared" si="40"/>
        <v>300</v>
      </c>
      <c r="B352" s="25">
        <f t="shared" si="41"/>
        <v>0</v>
      </c>
      <c r="C352" s="37">
        <f t="shared" si="42"/>
        <v>0</v>
      </c>
      <c r="D352" s="27">
        <f t="shared" si="37"/>
        <v>0</v>
      </c>
      <c r="E352" s="38">
        <f t="shared" si="43"/>
        <v>0</v>
      </c>
      <c r="F352" s="39">
        <f t="shared" si="38"/>
        <v>0</v>
      </c>
      <c r="G352" s="39">
        <f t="shared" si="39"/>
        <v>0</v>
      </c>
      <c r="K352" s="8">
        <v>25</v>
      </c>
    </row>
    <row r="353" spans="1:11">
      <c r="A353" s="24">
        <f t="shared" si="40"/>
        <v>301</v>
      </c>
      <c r="B353" s="25">
        <f t="shared" si="41"/>
        <v>0</v>
      </c>
      <c r="C353" s="37">
        <f t="shared" si="42"/>
        <v>0</v>
      </c>
      <c r="D353" s="27">
        <f t="shared" si="37"/>
        <v>0</v>
      </c>
      <c r="E353" s="38">
        <f t="shared" si="43"/>
        <v>0</v>
      </c>
      <c r="F353" s="39">
        <f t="shared" si="38"/>
        <v>0</v>
      </c>
      <c r="G353" s="39">
        <f t="shared" si="39"/>
        <v>0</v>
      </c>
      <c r="K353" s="8">
        <v>26</v>
      </c>
    </row>
    <row r="354" spans="1:11">
      <c r="A354" s="24">
        <f t="shared" si="40"/>
        <v>302</v>
      </c>
      <c r="B354" s="25">
        <f t="shared" si="41"/>
        <v>0</v>
      </c>
      <c r="C354" s="37">
        <f t="shared" si="42"/>
        <v>0</v>
      </c>
      <c r="D354" s="27">
        <f t="shared" si="37"/>
        <v>0</v>
      </c>
      <c r="E354" s="38">
        <f t="shared" si="43"/>
        <v>0</v>
      </c>
      <c r="F354" s="39">
        <f t="shared" si="38"/>
        <v>0</v>
      </c>
      <c r="G354" s="39">
        <f t="shared" si="39"/>
        <v>0</v>
      </c>
      <c r="K354" s="8">
        <v>26</v>
      </c>
    </row>
    <row r="355" spans="1:11">
      <c r="A355" s="24">
        <f t="shared" si="40"/>
        <v>303</v>
      </c>
      <c r="B355" s="25">
        <f t="shared" si="41"/>
        <v>0</v>
      </c>
      <c r="C355" s="37">
        <f t="shared" si="42"/>
        <v>0</v>
      </c>
      <c r="D355" s="27">
        <f t="shared" si="37"/>
        <v>0</v>
      </c>
      <c r="E355" s="38">
        <f t="shared" si="43"/>
        <v>0</v>
      </c>
      <c r="F355" s="39">
        <f t="shared" si="38"/>
        <v>0</v>
      </c>
      <c r="G355" s="39">
        <f t="shared" si="39"/>
        <v>0</v>
      </c>
      <c r="K355" s="8">
        <v>26</v>
      </c>
    </row>
    <row r="356" spans="1:11">
      <c r="A356" s="24">
        <f t="shared" si="40"/>
        <v>304</v>
      </c>
      <c r="B356" s="25">
        <f t="shared" si="41"/>
        <v>0</v>
      </c>
      <c r="C356" s="37">
        <f t="shared" si="42"/>
        <v>0</v>
      </c>
      <c r="D356" s="27">
        <f t="shared" si="37"/>
        <v>0</v>
      </c>
      <c r="E356" s="38">
        <f t="shared" si="43"/>
        <v>0</v>
      </c>
      <c r="F356" s="39">
        <f t="shared" si="38"/>
        <v>0</v>
      </c>
      <c r="G356" s="39">
        <f t="shared" si="39"/>
        <v>0</v>
      </c>
      <c r="K356" s="8">
        <v>26</v>
      </c>
    </row>
    <row r="357" spans="1:11">
      <c r="A357" s="24">
        <f t="shared" si="40"/>
        <v>305</v>
      </c>
      <c r="B357" s="25">
        <f t="shared" si="41"/>
        <v>0</v>
      </c>
      <c r="C357" s="37">
        <f t="shared" si="42"/>
        <v>0</v>
      </c>
      <c r="D357" s="27">
        <f t="shared" si="37"/>
        <v>0</v>
      </c>
      <c r="E357" s="38">
        <f t="shared" si="43"/>
        <v>0</v>
      </c>
      <c r="F357" s="39">
        <f t="shared" si="38"/>
        <v>0</v>
      </c>
      <c r="G357" s="39">
        <f t="shared" si="39"/>
        <v>0</v>
      </c>
      <c r="K357" s="8">
        <v>26</v>
      </c>
    </row>
    <row r="358" spans="1:11">
      <c r="A358" s="24">
        <f t="shared" si="40"/>
        <v>306</v>
      </c>
      <c r="B358" s="25">
        <f t="shared" si="41"/>
        <v>0</v>
      </c>
      <c r="C358" s="37">
        <f t="shared" si="42"/>
        <v>0</v>
      </c>
      <c r="D358" s="27">
        <f t="shared" si="37"/>
        <v>0</v>
      </c>
      <c r="E358" s="38">
        <f t="shared" si="43"/>
        <v>0</v>
      </c>
      <c r="F358" s="39">
        <f t="shared" si="38"/>
        <v>0</v>
      </c>
      <c r="G358" s="39">
        <f t="shared" si="39"/>
        <v>0</v>
      </c>
      <c r="K358" s="8">
        <v>26</v>
      </c>
    </row>
    <row r="359" spans="1:11">
      <c r="A359" s="24">
        <f t="shared" si="40"/>
        <v>307</v>
      </c>
      <c r="B359" s="25">
        <f t="shared" si="41"/>
        <v>0</v>
      </c>
      <c r="C359" s="37">
        <f t="shared" si="42"/>
        <v>0</v>
      </c>
      <c r="D359" s="27">
        <f t="shared" si="37"/>
        <v>0</v>
      </c>
      <c r="E359" s="38">
        <f t="shared" si="43"/>
        <v>0</v>
      </c>
      <c r="F359" s="39">
        <f t="shared" si="38"/>
        <v>0</v>
      </c>
      <c r="G359" s="39">
        <f t="shared" si="39"/>
        <v>0</v>
      </c>
      <c r="K359" s="8">
        <v>26</v>
      </c>
    </row>
    <row r="360" spans="1:11">
      <c r="A360" s="24">
        <f t="shared" si="40"/>
        <v>308</v>
      </c>
      <c r="B360" s="25">
        <f t="shared" si="41"/>
        <v>0</v>
      </c>
      <c r="C360" s="37">
        <f t="shared" si="42"/>
        <v>0</v>
      </c>
      <c r="D360" s="27">
        <f t="shared" si="37"/>
        <v>0</v>
      </c>
      <c r="E360" s="38">
        <f t="shared" si="43"/>
        <v>0</v>
      </c>
      <c r="F360" s="39">
        <f t="shared" si="38"/>
        <v>0</v>
      </c>
      <c r="G360" s="39">
        <f t="shared" si="39"/>
        <v>0</v>
      </c>
      <c r="K360" s="8">
        <v>26</v>
      </c>
    </row>
    <row r="361" spans="1:11">
      <c r="A361" s="24">
        <f t="shared" si="40"/>
        <v>309</v>
      </c>
      <c r="B361" s="25">
        <f t="shared" si="41"/>
        <v>0</v>
      </c>
      <c r="C361" s="37">
        <f t="shared" si="42"/>
        <v>0</v>
      </c>
      <c r="D361" s="27">
        <f t="shared" si="37"/>
        <v>0</v>
      </c>
      <c r="E361" s="38">
        <f t="shared" si="43"/>
        <v>0</v>
      </c>
      <c r="F361" s="39">
        <f t="shared" si="38"/>
        <v>0</v>
      </c>
      <c r="G361" s="39">
        <f t="shared" si="39"/>
        <v>0</v>
      </c>
      <c r="K361" s="8">
        <v>26</v>
      </c>
    </row>
    <row r="362" spans="1:11">
      <c r="A362" s="24">
        <f t="shared" si="40"/>
        <v>310</v>
      </c>
      <c r="B362" s="25">
        <f t="shared" si="41"/>
        <v>0</v>
      </c>
      <c r="C362" s="37">
        <f t="shared" si="42"/>
        <v>0</v>
      </c>
      <c r="D362" s="27">
        <f t="shared" si="37"/>
        <v>0</v>
      </c>
      <c r="E362" s="38">
        <f t="shared" si="43"/>
        <v>0</v>
      </c>
      <c r="F362" s="39">
        <f t="shared" si="38"/>
        <v>0</v>
      </c>
      <c r="G362" s="39">
        <f t="shared" si="39"/>
        <v>0</v>
      </c>
      <c r="K362" s="8">
        <v>26</v>
      </c>
    </row>
    <row r="363" spans="1:11">
      <c r="A363" s="24">
        <f t="shared" si="40"/>
        <v>311</v>
      </c>
      <c r="B363" s="25">
        <f t="shared" si="41"/>
        <v>0</v>
      </c>
      <c r="C363" s="37">
        <f t="shared" si="42"/>
        <v>0</v>
      </c>
      <c r="D363" s="27">
        <f t="shared" si="37"/>
        <v>0</v>
      </c>
      <c r="E363" s="38">
        <f t="shared" si="43"/>
        <v>0</v>
      </c>
      <c r="F363" s="39">
        <f t="shared" si="38"/>
        <v>0</v>
      </c>
      <c r="G363" s="39">
        <f t="shared" si="39"/>
        <v>0</v>
      </c>
      <c r="K363" s="8">
        <v>26</v>
      </c>
    </row>
    <row r="364" spans="1:11">
      <c r="A364" s="24">
        <f t="shared" si="40"/>
        <v>312</v>
      </c>
      <c r="B364" s="25">
        <f t="shared" si="41"/>
        <v>0</v>
      </c>
      <c r="C364" s="37">
        <f t="shared" si="42"/>
        <v>0</v>
      </c>
      <c r="D364" s="27">
        <f t="shared" si="37"/>
        <v>0</v>
      </c>
      <c r="E364" s="38">
        <f t="shared" si="43"/>
        <v>0</v>
      </c>
      <c r="F364" s="39">
        <f t="shared" si="38"/>
        <v>0</v>
      </c>
      <c r="G364" s="39">
        <f t="shared" si="39"/>
        <v>0</v>
      </c>
      <c r="K364" s="8">
        <v>26</v>
      </c>
    </row>
    <row r="365" spans="1:11">
      <c r="A365" s="24">
        <f t="shared" si="40"/>
        <v>313</v>
      </c>
      <c r="B365" s="25">
        <f t="shared" si="41"/>
        <v>0</v>
      </c>
      <c r="C365" s="37">
        <f t="shared" si="42"/>
        <v>0</v>
      </c>
      <c r="D365" s="27">
        <f t="shared" si="37"/>
        <v>0</v>
      </c>
      <c r="E365" s="38">
        <f t="shared" si="43"/>
        <v>0</v>
      </c>
      <c r="F365" s="39">
        <f t="shared" si="38"/>
        <v>0</v>
      </c>
      <c r="G365" s="39">
        <f t="shared" si="39"/>
        <v>0</v>
      </c>
      <c r="K365" s="8">
        <v>27</v>
      </c>
    </row>
    <row r="366" spans="1:11">
      <c r="A366" s="24">
        <f t="shared" si="40"/>
        <v>314</v>
      </c>
      <c r="B366" s="25">
        <f t="shared" si="41"/>
        <v>0</v>
      </c>
      <c r="C366" s="37">
        <f t="shared" si="42"/>
        <v>0</v>
      </c>
      <c r="D366" s="27">
        <f t="shared" si="37"/>
        <v>0</v>
      </c>
      <c r="E366" s="38">
        <f t="shared" si="43"/>
        <v>0</v>
      </c>
      <c r="F366" s="39">
        <f t="shared" si="38"/>
        <v>0</v>
      </c>
      <c r="G366" s="39">
        <f t="shared" si="39"/>
        <v>0</v>
      </c>
      <c r="K366" s="8">
        <v>27</v>
      </c>
    </row>
    <row r="367" spans="1:11">
      <c r="A367" s="24">
        <f t="shared" si="40"/>
        <v>315</v>
      </c>
      <c r="B367" s="25">
        <f t="shared" si="41"/>
        <v>0</v>
      </c>
      <c r="C367" s="37">
        <f t="shared" si="42"/>
        <v>0</v>
      </c>
      <c r="D367" s="27">
        <f t="shared" si="37"/>
        <v>0</v>
      </c>
      <c r="E367" s="38">
        <f t="shared" si="43"/>
        <v>0</v>
      </c>
      <c r="F367" s="39">
        <f t="shared" si="38"/>
        <v>0</v>
      </c>
      <c r="G367" s="39">
        <f t="shared" si="39"/>
        <v>0</v>
      </c>
      <c r="K367" s="8">
        <v>27</v>
      </c>
    </row>
    <row r="368" spans="1:11">
      <c r="A368" s="24">
        <f t="shared" si="40"/>
        <v>316</v>
      </c>
      <c r="B368" s="25">
        <f t="shared" si="41"/>
        <v>0</v>
      </c>
      <c r="C368" s="37">
        <f t="shared" si="42"/>
        <v>0</v>
      </c>
      <c r="D368" s="27">
        <f t="shared" si="37"/>
        <v>0</v>
      </c>
      <c r="E368" s="38">
        <f t="shared" si="43"/>
        <v>0</v>
      </c>
      <c r="F368" s="39">
        <f t="shared" si="38"/>
        <v>0</v>
      </c>
      <c r="G368" s="39">
        <f t="shared" si="39"/>
        <v>0</v>
      </c>
      <c r="K368" s="8">
        <v>27</v>
      </c>
    </row>
    <row r="369" spans="1:11">
      <c r="A369" s="24">
        <f t="shared" si="40"/>
        <v>317</v>
      </c>
      <c r="B369" s="25">
        <f t="shared" si="41"/>
        <v>0</v>
      </c>
      <c r="C369" s="37">
        <f t="shared" si="42"/>
        <v>0</v>
      </c>
      <c r="D369" s="27">
        <f t="shared" si="37"/>
        <v>0</v>
      </c>
      <c r="E369" s="38">
        <f t="shared" si="43"/>
        <v>0</v>
      </c>
      <c r="F369" s="39">
        <f t="shared" si="38"/>
        <v>0</v>
      </c>
      <c r="G369" s="39">
        <f t="shared" si="39"/>
        <v>0</v>
      </c>
      <c r="K369" s="8">
        <v>27</v>
      </c>
    </row>
    <row r="370" spans="1:11">
      <c r="A370" s="24">
        <f t="shared" si="40"/>
        <v>318</v>
      </c>
      <c r="B370" s="25">
        <f t="shared" si="41"/>
        <v>0</v>
      </c>
      <c r="C370" s="37">
        <f t="shared" si="42"/>
        <v>0</v>
      </c>
      <c r="D370" s="27">
        <f t="shared" si="37"/>
        <v>0</v>
      </c>
      <c r="E370" s="38">
        <f t="shared" si="43"/>
        <v>0</v>
      </c>
      <c r="F370" s="39">
        <f t="shared" si="38"/>
        <v>0</v>
      </c>
      <c r="G370" s="39">
        <f t="shared" si="39"/>
        <v>0</v>
      </c>
      <c r="K370" s="8">
        <v>27</v>
      </c>
    </row>
    <row r="371" spans="1:11">
      <c r="A371" s="24">
        <f t="shared" si="40"/>
        <v>319</v>
      </c>
      <c r="B371" s="25">
        <f t="shared" si="41"/>
        <v>0</v>
      </c>
      <c r="C371" s="37">
        <f t="shared" si="42"/>
        <v>0</v>
      </c>
      <c r="D371" s="27">
        <f t="shared" si="37"/>
        <v>0</v>
      </c>
      <c r="E371" s="38">
        <f t="shared" si="43"/>
        <v>0</v>
      </c>
      <c r="F371" s="39">
        <f t="shared" si="38"/>
        <v>0</v>
      </c>
      <c r="G371" s="39">
        <f t="shared" si="39"/>
        <v>0</v>
      </c>
      <c r="K371" s="8">
        <v>27</v>
      </c>
    </row>
    <row r="372" spans="1:11">
      <c r="A372" s="24">
        <f t="shared" si="40"/>
        <v>320</v>
      </c>
      <c r="B372" s="25">
        <f t="shared" si="41"/>
        <v>0</v>
      </c>
      <c r="C372" s="37">
        <f t="shared" si="42"/>
        <v>0</v>
      </c>
      <c r="D372" s="27">
        <f t="shared" si="37"/>
        <v>0</v>
      </c>
      <c r="E372" s="38">
        <f t="shared" si="43"/>
        <v>0</v>
      </c>
      <c r="F372" s="39">
        <f t="shared" si="38"/>
        <v>0</v>
      </c>
      <c r="G372" s="39">
        <f t="shared" si="39"/>
        <v>0</v>
      </c>
      <c r="K372" s="8">
        <v>27</v>
      </c>
    </row>
    <row r="373" spans="1:11">
      <c r="A373" s="24">
        <f t="shared" si="40"/>
        <v>321</v>
      </c>
      <c r="B373" s="25">
        <f t="shared" si="41"/>
        <v>0</v>
      </c>
      <c r="C373" s="37">
        <f t="shared" si="42"/>
        <v>0</v>
      </c>
      <c r="D373" s="27">
        <f t="shared" ref="D373:D412" si="44">IF(A373&lt;=$C$6*12, $C$10, 0)</f>
        <v>0</v>
      </c>
      <c r="E373" s="38">
        <f t="shared" si="43"/>
        <v>0</v>
      </c>
      <c r="F373" s="39">
        <f t="shared" si="38"/>
        <v>0</v>
      </c>
      <c r="G373" s="39">
        <f t="shared" si="39"/>
        <v>0</v>
      </c>
      <c r="K373" s="8">
        <v>27</v>
      </c>
    </row>
    <row r="374" spans="1:11">
      <c r="A374" s="24">
        <f t="shared" si="40"/>
        <v>322</v>
      </c>
      <c r="B374" s="25">
        <f t="shared" si="41"/>
        <v>0</v>
      </c>
      <c r="C374" s="37">
        <f t="shared" si="42"/>
        <v>0</v>
      </c>
      <c r="D374" s="27">
        <f t="shared" si="44"/>
        <v>0</v>
      </c>
      <c r="E374" s="38">
        <f t="shared" si="43"/>
        <v>0</v>
      </c>
      <c r="F374" s="39">
        <f t="shared" ref="F374:F412" si="45">IF(A374&lt;=$C$6*12, F373+C374, 0)</f>
        <v>0</v>
      </c>
      <c r="G374" s="39">
        <f t="shared" ref="G374:G412" si="46">IF(A374&lt;=$C$6*12, G373+B374, 0)</f>
        <v>0</v>
      </c>
      <c r="K374" s="8">
        <v>27</v>
      </c>
    </row>
    <row r="375" spans="1:11">
      <c r="A375" s="24">
        <f t="shared" ref="A375:A409" si="47">A374+1</f>
        <v>323</v>
      </c>
      <c r="B375" s="25">
        <f t="shared" ref="B375:B412" si="48">IF(A374&lt;=$C$6*12,D375-C375,0)</f>
        <v>0</v>
      </c>
      <c r="C375" s="37">
        <f t="shared" ref="C375:C412" si="49">IF(A375&lt;=$C$6*12, E374*$C$5/12, 0)</f>
        <v>0</v>
      </c>
      <c r="D375" s="27">
        <f t="shared" si="44"/>
        <v>0</v>
      </c>
      <c r="E375" s="38">
        <f t="shared" ref="E375:E412" si="50">IF(A375&lt;=$C$6*12, E374-B375, 0)</f>
        <v>0</v>
      </c>
      <c r="F375" s="39">
        <f t="shared" si="45"/>
        <v>0</v>
      </c>
      <c r="G375" s="39">
        <f t="shared" si="46"/>
        <v>0</v>
      </c>
      <c r="K375" s="8">
        <v>27</v>
      </c>
    </row>
    <row r="376" spans="1:11">
      <c r="A376" s="24">
        <f t="shared" si="47"/>
        <v>324</v>
      </c>
      <c r="B376" s="25">
        <f t="shared" si="48"/>
        <v>0</v>
      </c>
      <c r="C376" s="37">
        <f t="shared" si="49"/>
        <v>0</v>
      </c>
      <c r="D376" s="27">
        <f t="shared" si="44"/>
        <v>0</v>
      </c>
      <c r="E376" s="38">
        <f t="shared" si="50"/>
        <v>0</v>
      </c>
      <c r="F376" s="39">
        <f t="shared" si="45"/>
        <v>0</v>
      </c>
      <c r="G376" s="39">
        <f t="shared" si="46"/>
        <v>0</v>
      </c>
      <c r="K376" s="8">
        <v>27</v>
      </c>
    </row>
    <row r="377" spans="1:11">
      <c r="A377" s="24">
        <f t="shared" si="47"/>
        <v>325</v>
      </c>
      <c r="B377" s="25">
        <f t="shared" si="48"/>
        <v>0</v>
      </c>
      <c r="C377" s="37">
        <f t="shared" si="49"/>
        <v>0</v>
      </c>
      <c r="D377" s="27">
        <f t="shared" si="44"/>
        <v>0</v>
      </c>
      <c r="E377" s="38">
        <f t="shared" si="50"/>
        <v>0</v>
      </c>
      <c r="F377" s="39">
        <f t="shared" si="45"/>
        <v>0</v>
      </c>
      <c r="G377" s="39">
        <f t="shared" si="46"/>
        <v>0</v>
      </c>
      <c r="K377" s="8">
        <v>28</v>
      </c>
    </row>
    <row r="378" spans="1:11">
      <c r="A378" s="24">
        <f t="shared" si="47"/>
        <v>326</v>
      </c>
      <c r="B378" s="25">
        <f t="shared" si="48"/>
        <v>0</v>
      </c>
      <c r="C378" s="37">
        <f t="shared" si="49"/>
        <v>0</v>
      </c>
      <c r="D378" s="27">
        <f t="shared" si="44"/>
        <v>0</v>
      </c>
      <c r="E378" s="38">
        <f t="shared" si="50"/>
        <v>0</v>
      </c>
      <c r="F378" s="39">
        <f t="shared" si="45"/>
        <v>0</v>
      </c>
      <c r="G378" s="39">
        <f t="shared" si="46"/>
        <v>0</v>
      </c>
      <c r="K378" s="8">
        <v>28</v>
      </c>
    </row>
    <row r="379" spans="1:11">
      <c r="A379" s="24">
        <f t="shared" si="47"/>
        <v>327</v>
      </c>
      <c r="B379" s="25">
        <f t="shared" si="48"/>
        <v>0</v>
      </c>
      <c r="C379" s="37">
        <f t="shared" si="49"/>
        <v>0</v>
      </c>
      <c r="D379" s="27">
        <f t="shared" si="44"/>
        <v>0</v>
      </c>
      <c r="E379" s="38">
        <f t="shared" si="50"/>
        <v>0</v>
      </c>
      <c r="F379" s="39">
        <f t="shared" si="45"/>
        <v>0</v>
      </c>
      <c r="G379" s="39">
        <f t="shared" si="46"/>
        <v>0</v>
      </c>
      <c r="K379" s="8">
        <v>28</v>
      </c>
    </row>
    <row r="380" spans="1:11">
      <c r="A380" s="24">
        <f t="shared" si="47"/>
        <v>328</v>
      </c>
      <c r="B380" s="25">
        <f t="shared" si="48"/>
        <v>0</v>
      </c>
      <c r="C380" s="37">
        <f t="shared" si="49"/>
        <v>0</v>
      </c>
      <c r="D380" s="27">
        <f t="shared" si="44"/>
        <v>0</v>
      </c>
      <c r="E380" s="38">
        <f t="shared" si="50"/>
        <v>0</v>
      </c>
      <c r="F380" s="39">
        <f t="shared" si="45"/>
        <v>0</v>
      </c>
      <c r="G380" s="39">
        <f t="shared" si="46"/>
        <v>0</v>
      </c>
      <c r="K380" s="8">
        <v>28</v>
      </c>
    </row>
    <row r="381" spans="1:11">
      <c r="A381" s="24">
        <f t="shared" si="47"/>
        <v>329</v>
      </c>
      <c r="B381" s="25">
        <f t="shared" si="48"/>
        <v>0</v>
      </c>
      <c r="C381" s="37">
        <f t="shared" si="49"/>
        <v>0</v>
      </c>
      <c r="D381" s="27">
        <f t="shared" si="44"/>
        <v>0</v>
      </c>
      <c r="E381" s="38">
        <f t="shared" si="50"/>
        <v>0</v>
      </c>
      <c r="F381" s="39">
        <f t="shared" si="45"/>
        <v>0</v>
      </c>
      <c r="G381" s="39">
        <f t="shared" si="46"/>
        <v>0</v>
      </c>
      <c r="K381" s="8">
        <v>28</v>
      </c>
    </row>
    <row r="382" spans="1:11">
      <c r="A382" s="24">
        <f t="shared" si="47"/>
        <v>330</v>
      </c>
      <c r="B382" s="25">
        <f t="shared" si="48"/>
        <v>0</v>
      </c>
      <c r="C382" s="37">
        <f t="shared" si="49"/>
        <v>0</v>
      </c>
      <c r="D382" s="27">
        <f t="shared" si="44"/>
        <v>0</v>
      </c>
      <c r="E382" s="38">
        <f t="shared" si="50"/>
        <v>0</v>
      </c>
      <c r="F382" s="39">
        <f t="shared" si="45"/>
        <v>0</v>
      </c>
      <c r="G382" s="39">
        <f t="shared" si="46"/>
        <v>0</v>
      </c>
      <c r="K382" s="8">
        <v>28</v>
      </c>
    </row>
    <row r="383" spans="1:11">
      <c r="A383" s="24">
        <f t="shared" si="47"/>
        <v>331</v>
      </c>
      <c r="B383" s="25">
        <f t="shared" si="48"/>
        <v>0</v>
      </c>
      <c r="C383" s="37">
        <f t="shared" si="49"/>
        <v>0</v>
      </c>
      <c r="D383" s="27">
        <f t="shared" si="44"/>
        <v>0</v>
      </c>
      <c r="E383" s="38">
        <f t="shared" si="50"/>
        <v>0</v>
      </c>
      <c r="F383" s="39">
        <f t="shared" si="45"/>
        <v>0</v>
      </c>
      <c r="G383" s="39">
        <f t="shared" si="46"/>
        <v>0</v>
      </c>
      <c r="K383" s="8">
        <v>28</v>
      </c>
    </row>
    <row r="384" spans="1:11">
      <c r="A384" s="24">
        <f t="shared" si="47"/>
        <v>332</v>
      </c>
      <c r="B384" s="25">
        <f t="shared" si="48"/>
        <v>0</v>
      </c>
      <c r="C384" s="37">
        <f t="shared" si="49"/>
        <v>0</v>
      </c>
      <c r="D384" s="27">
        <f t="shared" si="44"/>
        <v>0</v>
      </c>
      <c r="E384" s="38">
        <f t="shared" si="50"/>
        <v>0</v>
      </c>
      <c r="F384" s="39">
        <f t="shared" si="45"/>
        <v>0</v>
      </c>
      <c r="G384" s="39">
        <f t="shared" si="46"/>
        <v>0</v>
      </c>
      <c r="K384" s="8">
        <v>28</v>
      </c>
    </row>
    <row r="385" spans="1:11">
      <c r="A385" s="24">
        <f t="shared" si="47"/>
        <v>333</v>
      </c>
      <c r="B385" s="25">
        <f t="shared" si="48"/>
        <v>0</v>
      </c>
      <c r="C385" s="37">
        <f t="shared" si="49"/>
        <v>0</v>
      </c>
      <c r="D385" s="27">
        <f t="shared" si="44"/>
        <v>0</v>
      </c>
      <c r="E385" s="38">
        <f t="shared" si="50"/>
        <v>0</v>
      </c>
      <c r="F385" s="39">
        <f t="shared" si="45"/>
        <v>0</v>
      </c>
      <c r="G385" s="39">
        <f t="shared" si="46"/>
        <v>0</v>
      </c>
      <c r="K385" s="8">
        <v>28</v>
      </c>
    </row>
    <row r="386" spans="1:11">
      <c r="A386" s="24">
        <f t="shared" si="47"/>
        <v>334</v>
      </c>
      <c r="B386" s="25">
        <f t="shared" si="48"/>
        <v>0</v>
      </c>
      <c r="C386" s="37">
        <f t="shared" si="49"/>
        <v>0</v>
      </c>
      <c r="D386" s="27">
        <f t="shared" si="44"/>
        <v>0</v>
      </c>
      <c r="E386" s="38">
        <f t="shared" si="50"/>
        <v>0</v>
      </c>
      <c r="F386" s="39">
        <f t="shared" si="45"/>
        <v>0</v>
      </c>
      <c r="G386" s="39">
        <f t="shared" si="46"/>
        <v>0</v>
      </c>
      <c r="K386" s="8">
        <v>28</v>
      </c>
    </row>
    <row r="387" spans="1:11">
      <c r="A387" s="24">
        <f t="shared" si="47"/>
        <v>335</v>
      </c>
      <c r="B387" s="25">
        <f t="shared" si="48"/>
        <v>0</v>
      </c>
      <c r="C387" s="37">
        <f t="shared" si="49"/>
        <v>0</v>
      </c>
      <c r="D387" s="27">
        <f t="shared" si="44"/>
        <v>0</v>
      </c>
      <c r="E387" s="38">
        <f t="shared" si="50"/>
        <v>0</v>
      </c>
      <c r="F387" s="39">
        <f t="shared" si="45"/>
        <v>0</v>
      </c>
      <c r="G387" s="39">
        <f t="shared" si="46"/>
        <v>0</v>
      </c>
      <c r="K387" s="8">
        <v>28</v>
      </c>
    </row>
    <row r="388" spans="1:11">
      <c r="A388" s="24">
        <f t="shared" si="47"/>
        <v>336</v>
      </c>
      <c r="B388" s="25">
        <f t="shared" si="48"/>
        <v>0</v>
      </c>
      <c r="C388" s="37">
        <f t="shared" si="49"/>
        <v>0</v>
      </c>
      <c r="D388" s="27">
        <f t="shared" si="44"/>
        <v>0</v>
      </c>
      <c r="E388" s="38">
        <f t="shared" si="50"/>
        <v>0</v>
      </c>
      <c r="F388" s="39">
        <f t="shared" si="45"/>
        <v>0</v>
      </c>
      <c r="G388" s="39">
        <f t="shared" si="46"/>
        <v>0</v>
      </c>
      <c r="K388" s="8">
        <v>28</v>
      </c>
    </row>
    <row r="389" spans="1:11">
      <c r="A389" s="24">
        <f t="shared" si="47"/>
        <v>337</v>
      </c>
      <c r="B389" s="25">
        <f t="shared" si="48"/>
        <v>0</v>
      </c>
      <c r="C389" s="37">
        <f t="shared" si="49"/>
        <v>0</v>
      </c>
      <c r="D389" s="27">
        <f t="shared" si="44"/>
        <v>0</v>
      </c>
      <c r="E389" s="38">
        <f t="shared" si="50"/>
        <v>0</v>
      </c>
      <c r="F389" s="39">
        <f t="shared" si="45"/>
        <v>0</v>
      </c>
      <c r="G389" s="39">
        <f t="shared" si="46"/>
        <v>0</v>
      </c>
      <c r="K389" s="8">
        <v>29</v>
      </c>
    </row>
    <row r="390" spans="1:11">
      <c r="A390" s="24">
        <f t="shared" si="47"/>
        <v>338</v>
      </c>
      <c r="B390" s="25">
        <f t="shared" si="48"/>
        <v>0</v>
      </c>
      <c r="C390" s="37">
        <f t="shared" si="49"/>
        <v>0</v>
      </c>
      <c r="D390" s="27">
        <f t="shared" si="44"/>
        <v>0</v>
      </c>
      <c r="E390" s="38">
        <f t="shared" si="50"/>
        <v>0</v>
      </c>
      <c r="F390" s="39">
        <f t="shared" si="45"/>
        <v>0</v>
      </c>
      <c r="G390" s="39">
        <f t="shared" si="46"/>
        <v>0</v>
      </c>
      <c r="K390" s="8">
        <v>29</v>
      </c>
    </row>
    <row r="391" spans="1:11">
      <c r="A391" s="24">
        <f t="shared" si="47"/>
        <v>339</v>
      </c>
      <c r="B391" s="25">
        <f t="shared" si="48"/>
        <v>0</v>
      </c>
      <c r="C391" s="37">
        <f t="shared" si="49"/>
        <v>0</v>
      </c>
      <c r="D391" s="27">
        <f t="shared" si="44"/>
        <v>0</v>
      </c>
      <c r="E391" s="38">
        <f t="shared" si="50"/>
        <v>0</v>
      </c>
      <c r="F391" s="39">
        <f t="shared" si="45"/>
        <v>0</v>
      </c>
      <c r="G391" s="39">
        <f t="shared" si="46"/>
        <v>0</v>
      </c>
      <c r="K391" s="8">
        <v>29</v>
      </c>
    </row>
    <row r="392" spans="1:11">
      <c r="A392" s="24">
        <f t="shared" si="47"/>
        <v>340</v>
      </c>
      <c r="B392" s="25">
        <f t="shared" si="48"/>
        <v>0</v>
      </c>
      <c r="C392" s="37">
        <f t="shared" si="49"/>
        <v>0</v>
      </c>
      <c r="D392" s="27">
        <f t="shared" si="44"/>
        <v>0</v>
      </c>
      <c r="E392" s="38">
        <f t="shared" si="50"/>
        <v>0</v>
      </c>
      <c r="F392" s="39">
        <f t="shared" si="45"/>
        <v>0</v>
      </c>
      <c r="G392" s="39">
        <f t="shared" si="46"/>
        <v>0</v>
      </c>
      <c r="K392" s="8">
        <v>29</v>
      </c>
    </row>
    <row r="393" spans="1:11">
      <c r="A393" s="24">
        <f t="shared" si="47"/>
        <v>341</v>
      </c>
      <c r="B393" s="25">
        <f t="shared" si="48"/>
        <v>0</v>
      </c>
      <c r="C393" s="37">
        <f t="shared" si="49"/>
        <v>0</v>
      </c>
      <c r="D393" s="27">
        <f t="shared" si="44"/>
        <v>0</v>
      </c>
      <c r="E393" s="38">
        <f t="shared" si="50"/>
        <v>0</v>
      </c>
      <c r="F393" s="39">
        <f t="shared" si="45"/>
        <v>0</v>
      </c>
      <c r="G393" s="39">
        <f t="shared" si="46"/>
        <v>0</v>
      </c>
      <c r="K393" s="8">
        <v>29</v>
      </c>
    </row>
    <row r="394" spans="1:11">
      <c r="A394" s="24">
        <f t="shared" si="47"/>
        <v>342</v>
      </c>
      <c r="B394" s="25">
        <f t="shared" si="48"/>
        <v>0</v>
      </c>
      <c r="C394" s="37">
        <f t="shared" si="49"/>
        <v>0</v>
      </c>
      <c r="D394" s="27">
        <f t="shared" si="44"/>
        <v>0</v>
      </c>
      <c r="E394" s="38">
        <f t="shared" si="50"/>
        <v>0</v>
      </c>
      <c r="F394" s="39">
        <f t="shared" si="45"/>
        <v>0</v>
      </c>
      <c r="G394" s="39">
        <f t="shared" si="46"/>
        <v>0</v>
      </c>
      <c r="K394" s="8">
        <v>29</v>
      </c>
    </row>
    <row r="395" spans="1:11">
      <c r="A395" s="24">
        <f t="shared" si="47"/>
        <v>343</v>
      </c>
      <c r="B395" s="25">
        <f t="shared" si="48"/>
        <v>0</v>
      </c>
      <c r="C395" s="37">
        <f t="shared" si="49"/>
        <v>0</v>
      </c>
      <c r="D395" s="27">
        <f t="shared" si="44"/>
        <v>0</v>
      </c>
      <c r="E395" s="38">
        <f t="shared" si="50"/>
        <v>0</v>
      </c>
      <c r="F395" s="39">
        <f t="shared" si="45"/>
        <v>0</v>
      </c>
      <c r="G395" s="39">
        <f t="shared" si="46"/>
        <v>0</v>
      </c>
      <c r="K395" s="8">
        <v>29</v>
      </c>
    </row>
    <row r="396" spans="1:11">
      <c r="A396" s="24">
        <f t="shared" si="47"/>
        <v>344</v>
      </c>
      <c r="B396" s="25">
        <f t="shared" si="48"/>
        <v>0</v>
      </c>
      <c r="C396" s="37">
        <f t="shared" si="49"/>
        <v>0</v>
      </c>
      <c r="D396" s="27">
        <f t="shared" si="44"/>
        <v>0</v>
      </c>
      <c r="E396" s="38">
        <f t="shared" si="50"/>
        <v>0</v>
      </c>
      <c r="F396" s="39">
        <f t="shared" si="45"/>
        <v>0</v>
      </c>
      <c r="G396" s="39">
        <f t="shared" si="46"/>
        <v>0</v>
      </c>
      <c r="K396" s="8">
        <v>29</v>
      </c>
    </row>
    <row r="397" spans="1:11">
      <c r="A397" s="24">
        <f t="shared" si="47"/>
        <v>345</v>
      </c>
      <c r="B397" s="25">
        <f t="shared" si="48"/>
        <v>0</v>
      </c>
      <c r="C397" s="37">
        <f t="shared" si="49"/>
        <v>0</v>
      </c>
      <c r="D397" s="27">
        <f t="shared" si="44"/>
        <v>0</v>
      </c>
      <c r="E397" s="38">
        <f t="shared" si="50"/>
        <v>0</v>
      </c>
      <c r="F397" s="39">
        <f t="shared" si="45"/>
        <v>0</v>
      </c>
      <c r="G397" s="39">
        <f t="shared" si="46"/>
        <v>0</v>
      </c>
      <c r="K397" s="8">
        <v>29</v>
      </c>
    </row>
    <row r="398" spans="1:11">
      <c r="A398" s="24">
        <f t="shared" si="47"/>
        <v>346</v>
      </c>
      <c r="B398" s="25">
        <f t="shared" si="48"/>
        <v>0</v>
      </c>
      <c r="C398" s="37">
        <f t="shared" si="49"/>
        <v>0</v>
      </c>
      <c r="D398" s="27">
        <f t="shared" si="44"/>
        <v>0</v>
      </c>
      <c r="E398" s="38">
        <f t="shared" si="50"/>
        <v>0</v>
      </c>
      <c r="F398" s="39">
        <f t="shared" si="45"/>
        <v>0</v>
      </c>
      <c r="G398" s="39">
        <f t="shared" si="46"/>
        <v>0</v>
      </c>
      <c r="K398" s="8">
        <v>29</v>
      </c>
    </row>
    <row r="399" spans="1:11">
      <c r="A399" s="24">
        <f t="shared" si="47"/>
        <v>347</v>
      </c>
      <c r="B399" s="25">
        <f t="shared" si="48"/>
        <v>0</v>
      </c>
      <c r="C399" s="37">
        <f t="shared" si="49"/>
        <v>0</v>
      </c>
      <c r="D399" s="27">
        <f t="shared" si="44"/>
        <v>0</v>
      </c>
      <c r="E399" s="38">
        <f t="shared" si="50"/>
        <v>0</v>
      </c>
      <c r="F399" s="39">
        <f t="shared" si="45"/>
        <v>0</v>
      </c>
      <c r="G399" s="39">
        <f t="shared" si="46"/>
        <v>0</v>
      </c>
      <c r="K399" s="8">
        <v>29</v>
      </c>
    </row>
    <row r="400" spans="1:11">
      <c r="A400" s="24">
        <f t="shared" si="47"/>
        <v>348</v>
      </c>
      <c r="B400" s="25">
        <f t="shared" si="48"/>
        <v>0</v>
      </c>
      <c r="C400" s="37">
        <f t="shared" si="49"/>
        <v>0</v>
      </c>
      <c r="D400" s="27">
        <f t="shared" si="44"/>
        <v>0</v>
      </c>
      <c r="E400" s="38">
        <f t="shared" si="50"/>
        <v>0</v>
      </c>
      <c r="F400" s="39">
        <f t="shared" si="45"/>
        <v>0</v>
      </c>
      <c r="G400" s="39">
        <f t="shared" si="46"/>
        <v>0</v>
      </c>
      <c r="K400" s="8">
        <v>29</v>
      </c>
    </row>
    <row r="401" spans="1:11">
      <c r="A401" s="24">
        <f t="shared" si="47"/>
        <v>349</v>
      </c>
      <c r="B401" s="25">
        <f t="shared" si="48"/>
        <v>0</v>
      </c>
      <c r="C401" s="37">
        <f t="shared" si="49"/>
        <v>0</v>
      </c>
      <c r="D401" s="27">
        <f t="shared" si="44"/>
        <v>0</v>
      </c>
      <c r="E401" s="38">
        <f t="shared" si="50"/>
        <v>0</v>
      </c>
      <c r="F401" s="39">
        <f t="shared" si="45"/>
        <v>0</v>
      </c>
      <c r="G401" s="39">
        <f t="shared" si="46"/>
        <v>0</v>
      </c>
      <c r="K401" s="8">
        <v>30</v>
      </c>
    </row>
    <row r="402" spans="1:11">
      <c r="A402" s="24">
        <f t="shared" si="47"/>
        <v>350</v>
      </c>
      <c r="B402" s="25">
        <f t="shared" si="48"/>
        <v>0</v>
      </c>
      <c r="C402" s="37">
        <f t="shared" si="49"/>
        <v>0</v>
      </c>
      <c r="D402" s="27">
        <f t="shared" si="44"/>
        <v>0</v>
      </c>
      <c r="E402" s="38">
        <f t="shared" si="50"/>
        <v>0</v>
      </c>
      <c r="F402" s="39">
        <f t="shared" si="45"/>
        <v>0</v>
      </c>
      <c r="G402" s="39">
        <f t="shared" si="46"/>
        <v>0</v>
      </c>
      <c r="K402" s="8">
        <v>30</v>
      </c>
    </row>
    <row r="403" spans="1:11">
      <c r="A403" s="24">
        <f t="shared" si="47"/>
        <v>351</v>
      </c>
      <c r="B403" s="25">
        <f t="shared" si="48"/>
        <v>0</v>
      </c>
      <c r="C403" s="37">
        <f t="shared" si="49"/>
        <v>0</v>
      </c>
      <c r="D403" s="27">
        <f t="shared" si="44"/>
        <v>0</v>
      </c>
      <c r="E403" s="38">
        <f t="shared" si="50"/>
        <v>0</v>
      </c>
      <c r="F403" s="39">
        <f t="shared" si="45"/>
        <v>0</v>
      </c>
      <c r="G403" s="39">
        <f t="shared" si="46"/>
        <v>0</v>
      </c>
      <c r="K403" s="8">
        <v>30</v>
      </c>
    </row>
    <row r="404" spans="1:11">
      <c r="A404" s="24">
        <f t="shared" si="47"/>
        <v>352</v>
      </c>
      <c r="B404" s="25">
        <f t="shared" si="48"/>
        <v>0</v>
      </c>
      <c r="C404" s="37">
        <f t="shared" si="49"/>
        <v>0</v>
      </c>
      <c r="D404" s="27">
        <f t="shared" si="44"/>
        <v>0</v>
      </c>
      <c r="E404" s="38">
        <f t="shared" si="50"/>
        <v>0</v>
      </c>
      <c r="F404" s="39">
        <f t="shared" si="45"/>
        <v>0</v>
      </c>
      <c r="G404" s="39">
        <f t="shared" si="46"/>
        <v>0</v>
      </c>
      <c r="K404" s="8">
        <v>30</v>
      </c>
    </row>
    <row r="405" spans="1:11">
      <c r="A405" s="24">
        <f t="shared" si="47"/>
        <v>353</v>
      </c>
      <c r="B405" s="25">
        <f t="shared" si="48"/>
        <v>0</v>
      </c>
      <c r="C405" s="37">
        <f t="shared" si="49"/>
        <v>0</v>
      </c>
      <c r="D405" s="27">
        <f t="shared" si="44"/>
        <v>0</v>
      </c>
      <c r="E405" s="38">
        <f t="shared" si="50"/>
        <v>0</v>
      </c>
      <c r="F405" s="39">
        <f t="shared" si="45"/>
        <v>0</v>
      </c>
      <c r="G405" s="39">
        <f t="shared" si="46"/>
        <v>0</v>
      </c>
      <c r="K405" s="8">
        <v>30</v>
      </c>
    </row>
    <row r="406" spans="1:11">
      <c r="A406" s="24">
        <f t="shared" si="47"/>
        <v>354</v>
      </c>
      <c r="B406" s="25">
        <f t="shared" si="48"/>
        <v>0</v>
      </c>
      <c r="C406" s="37">
        <f t="shared" si="49"/>
        <v>0</v>
      </c>
      <c r="D406" s="27">
        <f t="shared" si="44"/>
        <v>0</v>
      </c>
      <c r="E406" s="38">
        <f t="shared" si="50"/>
        <v>0</v>
      </c>
      <c r="F406" s="39">
        <f t="shared" si="45"/>
        <v>0</v>
      </c>
      <c r="G406" s="39">
        <f t="shared" si="46"/>
        <v>0</v>
      </c>
      <c r="K406" s="8">
        <v>30</v>
      </c>
    </row>
    <row r="407" spans="1:11">
      <c r="A407" s="24">
        <f t="shared" si="47"/>
        <v>355</v>
      </c>
      <c r="B407" s="25">
        <f t="shared" si="48"/>
        <v>0</v>
      </c>
      <c r="C407" s="37">
        <f t="shared" si="49"/>
        <v>0</v>
      </c>
      <c r="D407" s="27">
        <f t="shared" si="44"/>
        <v>0</v>
      </c>
      <c r="E407" s="38">
        <f t="shared" si="50"/>
        <v>0</v>
      </c>
      <c r="F407" s="39">
        <f t="shared" si="45"/>
        <v>0</v>
      </c>
      <c r="G407" s="39">
        <f t="shared" si="46"/>
        <v>0</v>
      </c>
      <c r="K407" s="8">
        <v>30</v>
      </c>
    </row>
    <row r="408" spans="1:11">
      <c r="A408" s="24">
        <f t="shared" si="47"/>
        <v>356</v>
      </c>
      <c r="B408" s="25">
        <f t="shared" si="48"/>
        <v>0</v>
      </c>
      <c r="C408" s="37">
        <f t="shared" si="49"/>
        <v>0</v>
      </c>
      <c r="D408" s="27">
        <f t="shared" si="44"/>
        <v>0</v>
      </c>
      <c r="E408" s="38">
        <f t="shared" si="50"/>
        <v>0</v>
      </c>
      <c r="F408" s="39">
        <f t="shared" si="45"/>
        <v>0</v>
      </c>
      <c r="G408" s="39">
        <f t="shared" si="46"/>
        <v>0</v>
      </c>
      <c r="K408" s="8">
        <v>30</v>
      </c>
    </row>
    <row r="409" spans="1:11">
      <c r="A409" s="24">
        <f t="shared" si="47"/>
        <v>357</v>
      </c>
      <c r="B409" s="25">
        <f t="shared" si="48"/>
        <v>0</v>
      </c>
      <c r="C409" s="37">
        <f t="shared" si="49"/>
        <v>0</v>
      </c>
      <c r="D409" s="27">
        <f t="shared" si="44"/>
        <v>0</v>
      </c>
      <c r="E409" s="38">
        <f t="shared" si="50"/>
        <v>0</v>
      </c>
      <c r="F409" s="39">
        <f t="shared" si="45"/>
        <v>0</v>
      </c>
      <c r="G409" s="39">
        <f t="shared" si="46"/>
        <v>0</v>
      </c>
      <c r="K409" s="8">
        <v>30</v>
      </c>
    </row>
    <row r="410" spans="1:11">
      <c r="A410" s="24">
        <f>A409+1</f>
        <v>358</v>
      </c>
      <c r="B410" s="25">
        <f t="shared" si="48"/>
        <v>0</v>
      </c>
      <c r="C410" s="37">
        <f t="shared" si="49"/>
        <v>0</v>
      </c>
      <c r="D410" s="27">
        <f t="shared" si="44"/>
        <v>0</v>
      </c>
      <c r="E410" s="38">
        <f t="shared" si="50"/>
        <v>0</v>
      </c>
      <c r="F410" s="39">
        <f t="shared" si="45"/>
        <v>0</v>
      </c>
      <c r="G410" s="39">
        <f t="shared" si="46"/>
        <v>0</v>
      </c>
      <c r="K410" s="8">
        <v>30</v>
      </c>
    </row>
    <row r="411" spans="1:11">
      <c r="A411" s="24">
        <f t="shared" ref="A411:A412" si="51">A410+1</f>
        <v>359</v>
      </c>
      <c r="B411" s="25">
        <f t="shared" si="48"/>
        <v>0</v>
      </c>
      <c r="C411" s="37">
        <f t="shared" si="49"/>
        <v>0</v>
      </c>
      <c r="D411" s="27">
        <f t="shared" si="44"/>
        <v>0</v>
      </c>
      <c r="E411" s="38">
        <f t="shared" si="50"/>
        <v>0</v>
      </c>
      <c r="F411" s="39">
        <f t="shared" si="45"/>
        <v>0</v>
      </c>
      <c r="G411" s="39">
        <f t="shared" si="46"/>
        <v>0</v>
      </c>
      <c r="K411" s="8">
        <v>30</v>
      </c>
    </row>
    <row r="412" spans="1:11">
      <c r="A412" s="24">
        <f t="shared" si="51"/>
        <v>360</v>
      </c>
      <c r="B412" s="25">
        <f t="shared" si="48"/>
        <v>0</v>
      </c>
      <c r="C412" s="37">
        <f t="shared" si="49"/>
        <v>0</v>
      </c>
      <c r="D412" s="27">
        <f t="shared" si="44"/>
        <v>0</v>
      </c>
      <c r="E412" s="38">
        <f t="shared" si="50"/>
        <v>0</v>
      </c>
      <c r="F412" s="39">
        <f t="shared" si="45"/>
        <v>0</v>
      </c>
      <c r="G412" s="39">
        <f t="shared" si="46"/>
        <v>0</v>
      </c>
      <c r="K412" s="8">
        <v>30</v>
      </c>
    </row>
    <row r="413" spans="1:11" s="36" customFormat="1" ht="15.75" thickBot="1">
      <c r="A413" s="30" t="s">
        <v>33</v>
      </c>
      <c r="B413" s="31">
        <f>SUM(B53:B412)</f>
        <v>3875261.5603360538</v>
      </c>
      <c r="C413" s="32">
        <f t="shared" ref="C413:D413" si="52">SUM(C53:C412)</f>
        <v>5724738.4396639783</v>
      </c>
      <c r="D413" s="33">
        <f t="shared" si="52"/>
        <v>9600000.0000000037</v>
      </c>
      <c r="E413" s="34"/>
      <c r="F413" s="35"/>
      <c r="G413" s="35"/>
    </row>
    <row r="414" spans="1:11" ht="15.75" thickTop="1"/>
  </sheetData>
  <sheetProtection algorithmName="SHA-512" hashValue="2hl/xPrZqF8Cy29erYnf56jBl5DUPdULLr9ts4vyObDsLAvSOHiVmyF2BU/Lrxn3g5HOI2ZTk1Hy6WMgrxlslw==" saltValue="aAmlF3mHiVrIg+FwkFCAUA==" spinCount="100000" sheet="1" objects="1" scenarios="1" selectLockedCells="1"/>
  <mergeCells count="11">
    <mergeCell ref="A9:B9"/>
    <mergeCell ref="A10:B10"/>
    <mergeCell ref="A13:B13"/>
    <mergeCell ref="F16:G16"/>
    <mergeCell ref="F51:G51"/>
    <mergeCell ref="A8:B8"/>
    <mergeCell ref="F1:G1"/>
    <mergeCell ref="A3:B3"/>
    <mergeCell ref="A4:B4"/>
    <mergeCell ref="A5:B5"/>
    <mergeCell ref="A6:B6"/>
  </mergeCells>
  <pageMargins left="0.7" right="0.7" top="0.75" bottom="0.75" header="0.3" footer="0.3"/>
  <pageSetup orientation="portrait" horizontalDpi="200" verticalDpi="200" r:id="rId1"/>
  <ignoredErrors>
    <ignoredError sqref="C4:C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2015-01-08T12:30:29Z</dcterms:created>
  <dcterms:modified xsi:type="dcterms:W3CDTF">2021-05-10T11:45:16Z</dcterms:modified>
  <cp:category/>
  <cp:contentStatus/>
</cp:coreProperties>
</file>