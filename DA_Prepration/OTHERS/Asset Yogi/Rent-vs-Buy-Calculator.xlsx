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02"/>
  <workbookPr/>
  <mc:AlternateContent xmlns:mc="http://schemas.openxmlformats.org/markup-compatibility/2006">
    <mc:Choice Requires="x15">
      <x15ac:absPath xmlns:x15ac="http://schemas.microsoft.com/office/spreadsheetml/2010/11/ac" url="C:\Users\Admin\Desktop\Rent vs Buy Calculator\"/>
    </mc:Choice>
  </mc:AlternateContent>
  <xr:revisionPtr revIDLastSave="0" documentId="8_{A7FCBB16-C34F-473A-AD7E-F1089E4BBFA0}" xr6:coauthVersionLast="47" xr6:coauthVersionMax="47" xr10:uidLastSave="{00000000-0000-0000-0000-000000000000}"/>
  <bookViews>
    <workbookView xWindow="0" yWindow="0" windowWidth="20490" windowHeight="7755" xr2:uid="{00000000-000D-0000-FFFF-FFFF00000000}"/>
  </bookViews>
  <sheets>
    <sheet name="Rent-vs-Buy" sheetId="1" r:id="rId1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Y122" i="1" l="1"/>
  <c r="MZ122" i="1"/>
  <c r="NA122" i="1"/>
  <c r="NB122" i="1"/>
  <c r="NC122" i="1"/>
  <c r="ND122" i="1"/>
  <c r="NE122" i="1"/>
  <c r="NF122" i="1"/>
  <c r="NG122" i="1"/>
  <c r="NH122" i="1"/>
  <c r="NI122" i="1"/>
  <c r="NJ122" i="1"/>
  <c r="NK122" i="1"/>
  <c r="NL122" i="1"/>
  <c r="NM122" i="1"/>
  <c r="NN122" i="1"/>
  <c r="NO122" i="1"/>
  <c r="NP122" i="1"/>
  <c r="NQ122" i="1"/>
  <c r="NR122" i="1"/>
  <c r="NS122" i="1"/>
  <c r="NT122" i="1"/>
  <c r="NU122" i="1"/>
  <c r="NV122" i="1"/>
  <c r="NW122" i="1"/>
  <c r="NX122" i="1"/>
  <c r="NY122" i="1"/>
  <c r="NZ122" i="1"/>
  <c r="OA122" i="1"/>
  <c r="OB122" i="1"/>
  <c r="OC122" i="1"/>
  <c r="OD122" i="1"/>
  <c r="OE122" i="1"/>
  <c r="OF122" i="1"/>
  <c r="OG122" i="1"/>
  <c r="OH122" i="1"/>
  <c r="OI122" i="1"/>
  <c r="OJ122" i="1"/>
  <c r="OK122" i="1"/>
  <c r="OL122" i="1"/>
  <c r="OM122" i="1"/>
  <c r="ON122" i="1"/>
  <c r="OO122" i="1"/>
  <c r="OP122" i="1"/>
  <c r="OQ122" i="1"/>
  <c r="OR122" i="1"/>
  <c r="OS122" i="1"/>
  <c r="OT122" i="1"/>
  <c r="OU122" i="1"/>
  <c r="OV122" i="1"/>
  <c r="OW122" i="1"/>
  <c r="OX122" i="1"/>
  <c r="OY122" i="1"/>
  <c r="OZ122" i="1"/>
  <c r="PA122" i="1"/>
  <c r="PB122" i="1"/>
  <c r="PC122" i="1"/>
  <c r="PD122" i="1"/>
  <c r="PE122" i="1"/>
  <c r="PF122" i="1"/>
  <c r="MY129" i="1"/>
  <c r="MZ129" i="1"/>
  <c r="NA129" i="1"/>
  <c r="NB129" i="1"/>
  <c r="NC129" i="1"/>
  <c r="ND129" i="1"/>
  <c r="NE129" i="1"/>
  <c r="NF129" i="1"/>
  <c r="NG129" i="1"/>
  <c r="NH129" i="1"/>
  <c r="NI129" i="1"/>
  <c r="NJ129" i="1"/>
  <c r="NK129" i="1"/>
  <c r="NL129" i="1"/>
  <c r="NM129" i="1"/>
  <c r="NN129" i="1"/>
  <c r="NO129" i="1"/>
  <c r="NP129" i="1"/>
  <c r="NQ129" i="1"/>
  <c r="NR129" i="1"/>
  <c r="NS129" i="1"/>
  <c r="NT129" i="1"/>
  <c r="NU129" i="1"/>
  <c r="NV129" i="1"/>
  <c r="NW129" i="1"/>
  <c r="NX129" i="1"/>
  <c r="NY129" i="1"/>
  <c r="NZ129" i="1"/>
  <c r="OA129" i="1"/>
  <c r="OB129" i="1"/>
  <c r="OC129" i="1"/>
  <c r="OD129" i="1"/>
  <c r="OE129" i="1"/>
  <c r="OF129" i="1"/>
  <c r="OG129" i="1"/>
  <c r="OH129" i="1"/>
  <c r="OI129" i="1"/>
  <c r="OJ129" i="1"/>
  <c r="OK129" i="1"/>
  <c r="OL129" i="1"/>
  <c r="OM129" i="1"/>
  <c r="ON129" i="1"/>
  <c r="OO129" i="1"/>
  <c r="OP129" i="1"/>
  <c r="OQ129" i="1"/>
  <c r="OR129" i="1"/>
  <c r="OS129" i="1"/>
  <c r="OT129" i="1"/>
  <c r="OU129" i="1"/>
  <c r="OV129" i="1"/>
  <c r="OW129" i="1"/>
  <c r="OX129" i="1"/>
  <c r="OY129" i="1"/>
  <c r="OZ129" i="1"/>
  <c r="PA129" i="1"/>
  <c r="PB129" i="1"/>
  <c r="PC129" i="1"/>
  <c r="PD129" i="1"/>
  <c r="PE129" i="1"/>
  <c r="PF129" i="1"/>
  <c r="C129" i="1"/>
  <c r="D129" i="1" s="1"/>
  <c r="E129" i="1" s="1"/>
  <c r="F129" i="1" s="1"/>
  <c r="G129" i="1" s="1"/>
  <c r="H129" i="1" s="1"/>
  <c r="I129" i="1" s="1"/>
  <c r="J129" i="1" s="1"/>
  <c r="K129" i="1" s="1"/>
  <c r="L129" i="1" s="1"/>
  <c r="M129" i="1" s="1"/>
  <c r="N129" i="1" s="1"/>
  <c r="O129" i="1" s="1"/>
  <c r="P129" i="1" s="1"/>
  <c r="Q129" i="1" s="1"/>
  <c r="R129" i="1" s="1"/>
  <c r="S129" i="1" s="1"/>
  <c r="T129" i="1" s="1"/>
  <c r="U129" i="1" s="1"/>
  <c r="V129" i="1" s="1"/>
  <c r="W129" i="1" s="1"/>
  <c r="X129" i="1" s="1"/>
  <c r="Y129" i="1" s="1"/>
  <c r="Z129" i="1" s="1"/>
  <c r="AA129" i="1" s="1"/>
  <c r="AB129" i="1" s="1"/>
  <c r="AC129" i="1" s="1"/>
  <c r="AD129" i="1" s="1"/>
  <c r="AE129" i="1" s="1"/>
  <c r="AF129" i="1" s="1"/>
  <c r="AG129" i="1" s="1"/>
  <c r="AH129" i="1" s="1"/>
  <c r="AI129" i="1" s="1"/>
  <c r="AJ129" i="1" s="1"/>
  <c r="AK129" i="1" s="1"/>
  <c r="AL129" i="1" s="1"/>
  <c r="AM129" i="1" s="1"/>
  <c r="AN129" i="1" s="1"/>
  <c r="AO129" i="1" s="1"/>
  <c r="AP129" i="1" s="1"/>
  <c r="AQ129" i="1" s="1"/>
  <c r="AR129" i="1" s="1"/>
  <c r="AS129" i="1" s="1"/>
  <c r="AT129" i="1" s="1"/>
  <c r="AU129" i="1" s="1"/>
  <c r="AV129" i="1" s="1"/>
  <c r="AW129" i="1" s="1"/>
  <c r="AX129" i="1" s="1"/>
  <c r="AY129" i="1" s="1"/>
  <c r="AZ129" i="1" s="1"/>
  <c r="BA129" i="1" s="1"/>
  <c r="BB129" i="1" s="1"/>
  <c r="BC129" i="1" s="1"/>
  <c r="BD129" i="1" s="1"/>
  <c r="BE129" i="1" s="1"/>
  <c r="BF129" i="1" s="1"/>
  <c r="BG129" i="1" s="1"/>
  <c r="BH129" i="1" s="1"/>
  <c r="BI129" i="1" s="1"/>
  <c r="BJ129" i="1" s="1"/>
  <c r="BK129" i="1" s="1"/>
  <c r="BL129" i="1" s="1"/>
  <c r="BM129" i="1" s="1"/>
  <c r="BN129" i="1" s="1"/>
  <c r="BO129" i="1" s="1"/>
  <c r="BP129" i="1" s="1"/>
  <c r="BQ129" i="1" s="1"/>
  <c r="BR129" i="1" s="1"/>
  <c r="BS129" i="1" s="1"/>
  <c r="BT129" i="1" s="1"/>
  <c r="BU129" i="1" s="1"/>
  <c r="BV129" i="1" s="1"/>
  <c r="BW129" i="1" s="1"/>
  <c r="BX129" i="1" s="1"/>
  <c r="BY129" i="1" s="1"/>
  <c r="BZ129" i="1" s="1"/>
  <c r="CA129" i="1" s="1"/>
  <c r="CB129" i="1" s="1"/>
  <c r="CC129" i="1" s="1"/>
  <c r="CD129" i="1" s="1"/>
  <c r="CE129" i="1" s="1"/>
  <c r="CF129" i="1" s="1"/>
  <c r="CG129" i="1" s="1"/>
  <c r="CH129" i="1" s="1"/>
  <c r="CI129" i="1" s="1"/>
  <c r="CJ129" i="1" s="1"/>
  <c r="CK129" i="1" s="1"/>
  <c r="CL129" i="1" s="1"/>
  <c r="CM129" i="1" s="1"/>
  <c r="CN129" i="1" s="1"/>
  <c r="CO129" i="1" s="1"/>
  <c r="CP129" i="1" s="1"/>
  <c r="CQ129" i="1" s="1"/>
  <c r="CR129" i="1" s="1"/>
  <c r="CS129" i="1" s="1"/>
  <c r="CT129" i="1" s="1"/>
  <c r="CU129" i="1" s="1"/>
  <c r="CV129" i="1" s="1"/>
  <c r="CW129" i="1" s="1"/>
  <c r="CX129" i="1" s="1"/>
  <c r="CY129" i="1" s="1"/>
  <c r="CZ129" i="1" s="1"/>
  <c r="DA129" i="1" s="1"/>
  <c r="DB129" i="1" s="1"/>
  <c r="DC129" i="1" s="1"/>
  <c r="DD129" i="1" s="1"/>
  <c r="DE129" i="1" s="1"/>
  <c r="DF129" i="1" s="1"/>
  <c r="DG129" i="1" s="1"/>
  <c r="DH129" i="1" s="1"/>
  <c r="DI129" i="1" s="1"/>
  <c r="DJ129" i="1" s="1"/>
  <c r="DK129" i="1" s="1"/>
  <c r="DL129" i="1" s="1"/>
  <c r="DM129" i="1" s="1"/>
  <c r="DN129" i="1" s="1"/>
  <c r="DO129" i="1" s="1"/>
  <c r="DP129" i="1" s="1"/>
  <c r="DQ129" i="1" s="1"/>
  <c r="DR129" i="1" s="1"/>
  <c r="DS129" i="1" s="1"/>
  <c r="DT129" i="1" s="1"/>
  <c r="DU129" i="1" s="1"/>
  <c r="DV129" i="1" s="1"/>
  <c r="DW129" i="1" s="1"/>
  <c r="DX129" i="1" s="1"/>
  <c r="DY129" i="1" s="1"/>
  <c r="DZ129" i="1" s="1"/>
  <c r="EA129" i="1" s="1"/>
  <c r="EB129" i="1" s="1"/>
  <c r="EC129" i="1" s="1"/>
  <c r="ED129" i="1" s="1"/>
  <c r="EE129" i="1" s="1"/>
  <c r="EF129" i="1" s="1"/>
  <c r="EG129" i="1" s="1"/>
  <c r="EH129" i="1" s="1"/>
  <c r="EI129" i="1" s="1"/>
  <c r="EJ129" i="1" s="1"/>
  <c r="EK129" i="1" s="1"/>
  <c r="EL129" i="1" s="1"/>
  <c r="EM129" i="1" s="1"/>
  <c r="EN129" i="1" s="1"/>
  <c r="EO129" i="1" s="1"/>
  <c r="EP129" i="1" s="1"/>
  <c r="EQ129" i="1" s="1"/>
  <c r="ER129" i="1" s="1"/>
  <c r="ES129" i="1" s="1"/>
  <c r="ET129" i="1" s="1"/>
  <c r="EU129" i="1" s="1"/>
  <c r="EV129" i="1" s="1"/>
  <c r="EW129" i="1" s="1"/>
  <c r="EX129" i="1" s="1"/>
  <c r="EY129" i="1" s="1"/>
  <c r="EZ129" i="1" s="1"/>
  <c r="FA129" i="1" s="1"/>
  <c r="FB129" i="1" s="1"/>
  <c r="FC129" i="1" s="1"/>
  <c r="FD129" i="1" s="1"/>
  <c r="FE129" i="1" s="1"/>
  <c r="FF129" i="1" s="1"/>
  <c r="FG129" i="1" s="1"/>
  <c r="FH129" i="1" s="1"/>
  <c r="FI129" i="1" s="1"/>
  <c r="FJ129" i="1" s="1"/>
  <c r="FK129" i="1" s="1"/>
  <c r="FL129" i="1" s="1"/>
  <c r="FM129" i="1" s="1"/>
  <c r="FN129" i="1" s="1"/>
  <c r="FO129" i="1" s="1"/>
  <c r="FP129" i="1" s="1"/>
  <c r="FQ129" i="1" s="1"/>
  <c r="FR129" i="1" s="1"/>
  <c r="FS129" i="1" s="1"/>
  <c r="FT129" i="1" s="1"/>
  <c r="FU129" i="1" s="1"/>
  <c r="FV129" i="1" s="1"/>
  <c r="FW129" i="1" s="1"/>
  <c r="FX129" i="1" s="1"/>
  <c r="FY129" i="1" s="1"/>
  <c r="FZ129" i="1" s="1"/>
  <c r="GA129" i="1" s="1"/>
  <c r="GB129" i="1" s="1"/>
  <c r="GC129" i="1" s="1"/>
  <c r="GD129" i="1" s="1"/>
  <c r="GE129" i="1" s="1"/>
  <c r="GF129" i="1" s="1"/>
  <c r="GG129" i="1" s="1"/>
  <c r="GH129" i="1" s="1"/>
  <c r="GI129" i="1" s="1"/>
  <c r="GJ129" i="1" s="1"/>
  <c r="GK129" i="1" s="1"/>
  <c r="GL129" i="1" s="1"/>
  <c r="GM129" i="1" s="1"/>
  <c r="GN129" i="1" s="1"/>
  <c r="GO129" i="1" s="1"/>
  <c r="GP129" i="1" s="1"/>
  <c r="GQ129" i="1" s="1"/>
  <c r="GR129" i="1" s="1"/>
  <c r="GS129" i="1" s="1"/>
  <c r="GT129" i="1" s="1"/>
  <c r="GU129" i="1" s="1"/>
  <c r="GV129" i="1" s="1"/>
  <c r="GW129" i="1" s="1"/>
  <c r="GX129" i="1" s="1"/>
  <c r="GY129" i="1" s="1"/>
  <c r="GZ129" i="1" s="1"/>
  <c r="HA129" i="1" s="1"/>
  <c r="HB129" i="1" s="1"/>
  <c r="HC129" i="1" s="1"/>
  <c r="HD129" i="1" s="1"/>
  <c r="HE129" i="1" s="1"/>
  <c r="HF129" i="1" s="1"/>
  <c r="HG129" i="1" s="1"/>
  <c r="HH129" i="1" s="1"/>
  <c r="HI129" i="1" s="1"/>
  <c r="HJ129" i="1" s="1"/>
  <c r="HK129" i="1" s="1"/>
  <c r="HL129" i="1" s="1"/>
  <c r="HM129" i="1" s="1"/>
  <c r="HN129" i="1" s="1"/>
  <c r="HO129" i="1" s="1"/>
  <c r="HP129" i="1" s="1"/>
  <c r="HQ129" i="1" s="1"/>
  <c r="HR129" i="1" s="1"/>
  <c r="HS129" i="1" s="1"/>
  <c r="HT129" i="1" s="1"/>
  <c r="HU129" i="1" s="1"/>
  <c r="HV129" i="1" s="1"/>
  <c r="HW129" i="1" s="1"/>
  <c r="HX129" i="1" s="1"/>
  <c r="HY129" i="1" s="1"/>
  <c r="HZ129" i="1" s="1"/>
  <c r="IA129" i="1" s="1"/>
  <c r="IB129" i="1" s="1"/>
  <c r="IC129" i="1" s="1"/>
  <c r="ID129" i="1" s="1"/>
  <c r="IE129" i="1" s="1"/>
  <c r="IF129" i="1" s="1"/>
  <c r="IG129" i="1" s="1"/>
  <c r="IH129" i="1" s="1"/>
  <c r="II129" i="1" s="1"/>
  <c r="IJ129" i="1" s="1"/>
  <c r="IK129" i="1" s="1"/>
  <c r="IL129" i="1" s="1"/>
  <c r="IM129" i="1" s="1"/>
  <c r="IN129" i="1" s="1"/>
  <c r="IO129" i="1" s="1"/>
  <c r="IP129" i="1" s="1"/>
  <c r="IQ129" i="1" s="1"/>
  <c r="IR129" i="1" s="1"/>
  <c r="IS129" i="1" s="1"/>
  <c r="IT129" i="1" s="1"/>
  <c r="IU129" i="1" s="1"/>
  <c r="IV129" i="1" s="1"/>
  <c r="IW129" i="1" s="1"/>
  <c r="IX129" i="1" s="1"/>
  <c r="IY129" i="1" s="1"/>
  <c r="IZ129" i="1" s="1"/>
  <c r="JA129" i="1" s="1"/>
  <c r="JB129" i="1" s="1"/>
  <c r="JC129" i="1" s="1"/>
  <c r="JD129" i="1" s="1"/>
  <c r="JE129" i="1" s="1"/>
  <c r="JF129" i="1" s="1"/>
  <c r="JG129" i="1" s="1"/>
  <c r="JH129" i="1" s="1"/>
  <c r="JI129" i="1" s="1"/>
  <c r="JJ129" i="1" s="1"/>
  <c r="JK129" i="1" s="1"/>
  <c r="JL129" i="1" s="1"/>
  <c r="JM129" i="1" s="1"/>
  <c r="JN129" i="1" s="1"/>
  <c r="JO129" i="1" s="1"/>
  <c r="JP129" i="1" s="1"/>
  <c r="JQ129" i="1" s="1"/>
  <c r="JR129" i="1" s="1"/>
  <c r="JS129" i="1" s="1"/>
  <c r="JT129" i="1" s="1"/>
  <c r="JU129" i="1" s="1"/>
  <c r="JV129" i="1" s="1"/>
  <c r="JW129" i="1" s="1"/>
  <c r="JX129" i="1" s="1"/>
  <c r="JY129" i="1" s="1"/>
  <c r="JZ129" i="1" s="1"/>
  <c r="KA129" i="1" s="1"/>
  <c r="KB129" i="1" s="1"/>
  <c r="KC129" i="1" s="1"/>
  <c r="KD129" i="1" s="1"/>
  <c r="KE129" i="1" s="1"/>
  <c r="KF129" i="1" s="1"/>
  <c r="KG129" i="1" s="1"/>
  <c r="KH129" i="1" s="1"/>
  <c r="KI129" i="1" s="1"/>
  <c r="KJ129" i="1" s="1"/>
  <c r="KK129" i="1" s="1"/>
  <c r="KL129" i="1" s="1"/>
  <c r="KM129" i="1" s="1"/>
  <c r="KN129" i="1" s="1"/>
  <c r="KO129" i="1" s="1"/>
  <c r="KP129" i="1" s="1"/>
  <c r="KQ129" i="1" s="1"/>
  <c r="KR129" i="1" s="1"/>
  <c r="KS129" i="1" s="1"/>
  <c r="KT129" i="1" s="1"/>
  <c r="KU129" i="1" s="1"/>
  <c r="KV129" i="1" s="1"/>
  <c r="KW129" i="1" s="1"/>
  <c r="KX129" i="1" s="1"/>
  <c r="KY129" i="1" s="1"/>
  <c r="KZ129" i="1" s="1"/>
  <c r="LA129" i="1" s="1"/>
  <c r="LB129" i="1" s="1"/>
  <c r="LC129" i="1" s="1"/>
  <c r="LD129" i="1" s="1"/>
  <c r="LE129" i="1" s="1"/>
  <c r="LF129" i="1" s="1"/>
  <c r="LG129" i="1" s="1"/>
  <c r="LH129" i="1" s="1"/>
  <c r="LI129" i="1" s="1"/>
  <c r="LJ129" i="1" s="1"/>
  <c r="LK129" i="1" s="1"/>
  <c r="LL129" i="1" s="1"/>
  <c r="LM129" i="1" s="1"/>
  <c r="LN129" i="1" s="1"/>
  <c r="LO129" i="1" s="1"/>
  <c r="LP129" i="1" s="1"/>
  <c r="LQ129" i="1" s="1"/>
  <c r="LR129" i="1" s="1"/>
  <c r="LS129" i="1" s="1"/>
  <c r="LT129" i="1" s="1"/>
  <c r="LU129" i="1" s="1"/>
  <c r="LV129" i="1" s="1"/>
  <c r="LW129" i="1" s="1"/>
  <c r="LX129" i="1" s="1"/>
  <c r="LY129" i="1" s="1"/>
  <c r="LZ129" i="1" s="1"/>
  <c r="MA129" i="1" s="1"/>
  <c r="MB129" i="1" s="1"/>
  <c r="MC129" i="1" s="1"/>
  <c r="MD129" i="1" s="1"/>
  <c r="ME129" i="1" s="1"/>
  <c r="MF129" i="1" s="1"/>
  <c r="MG129" i="1" s="1"/>
  <c r="MH129" i="1" s="1"/>
  <c r="MI129" i="1" s="1"/>
  <c r="MJ129" i="1" s="1"/>
  <c r="MK129" i="1" s="1"/>
  <c r="ML129" i="1" s="1"/>
  <c r="MM129" i="1" s="1"/>
  <c r="MN129" i="1" s="1"/>
  <c r="MO129" i="1" s="1"/>
  <c r="MP129" i="1" s="1"/>
  <c r="MQ129" i="1" s="1"/>
  <c r="MR129" i="1" s="1"/>
  <c r="MS129" i="1" s="1"/>
  <c r="MT129" i="1" s="1"/>
  <c r="MU129" i="1" s="1"/>
  <c r="MV129" i="1" s="1"/>
  <c r="MW129" i="1" s="1"/>
  <c r="MX129" i="1" s="1"/>
  <c r="C122" i="1"/>
  <c r="D122" i="1" s="1"/>
  <c r="E122" i="1" s="1"/>
  <c r="F122" i="1" s="1"/>
  <c r="G122" i="1" s="1"/>
  <c r="H122" i="1" s="1"/>
  <c r="I122" i="1" s="1"/>
  <c r="J122" i="1" s="1"/>
  <c r="K122" i="1" s="1"/>
  <c r="L122" i="1" s="1"/>
  <c r="M122" i="1" s="1"/>
  <c r="N122" i="1" s="1"/>
  <c r="O122" i="1" s="1"/>
  <c r="P122" i="1" s="1"/>
  <c r="Q122" i="1" s="1"/>
  <c r="R122" i="1" s="1"/>
  <c r="S122" i="1" s="1"/>
  <c r="T122" i="1" s="1"/>
  <c r="U122" i="1" s="1"/>
  <c r="V122" i="1" s="1"/>
  <c r="W122" i="1" s="1"/>
  <c r="X122" i="1" s="1"/>
  <c r="Y122" i="1" s="1"/>
  <c r="Z122" i="1" s="1"/>
  <c r="AA122" i="1" s="1"/>
  <c r="AB122" i="1" s="1"/>
  <c r="AC122" i="1" s="1"/>
  <c r="AD122" i="1" s="1"/>
  <c r="AE122" i="1" s="1"/>
  <c r="AF122" i="1" s="1"/>
  <c r="AG122" i="1" s="1"/>
  <c r="AH122" i="1" s="1"/>
  <c r="AI122" i="1" s="1"/>
  <c r="AJ122" i="1" s="1"/>
  <c r="AK122" i="1" s="1"/>
  <c r="AL122" i="1" s="1"/>
  <c r="AM122" i="1" s="1"/>
  <c r="AN122" i="1" s="1"/>
  <c r="AO122" i="1" s="1"/>
  <c r="AP122" i="1" s="1"/>
  <c r="AQ122" i="1" s="1"/>
  <c r="AR122" i="1" s="1"/>
  <c r="AS122" i="1" s="1"/>
  <c r="AT122" i="1" s="1"/>
  <c r="AU122" i="1" s="1"/>
  <c r="AV122" i="1" s="1"/>
  <c r="AW122" i="1" s="1"/>
  <c r="AX122" i="1" s="1"/>
  <c r="AY122" i="1" s="1"/>
  <c r="AZ122" i="1" s="1"/>
  <c r="BA122" i="1" s="1"/>
  <c r="BB122" i="1" s="1"/>
  <c r="BC122" i="1" s="1"/>
  <c r="BD122" i="1" s="1"/>
  <c r="BE122" i="1" s="1"/>
  <c r="BF122" i="1" s="1"/>
  <c r="BG122" i="1" s="1"/>
  <c r="BH122" i="1" s="1"/>
  <c r="BI122" i="1" s="1"/>
  <c r="BJ122" i="1" s="1"/>
  <c r="BK122" i="1" s="1"/>
  <c r="BL122" i="1" s="1"/>
  <c r="BM122" i="1" s="1"/>
  <c r="BN122" i="1" s="1"/>
  <c r="BO122" i="1" s="1"/>
  <c r="BP122" i="1" s="1"/>
  <c r="BQ122" i="1" s="1"/>
  <c r="BR122" i="1" s="1"/>
  <c r="BS122" i="1" s="1"/>
  <c r="BT122" i="1" s="1"/>
  <c r="BU122" i="1" s="1"/>
  <c r="BV122" i="1" s="1"/>
  <c r="BW122" i="1" s="1"/>
  <c r="BX122" i="1" s="1"/>
  <c r="BY122" i="1" s="1"/>
  <c r="BZ122" i="1" s="1"/>
  <c r="CA122" i="1" s="1"/>
  <c r="CB122" i="1" s="1"/>
  <c r="CC122" i="1" s="1"/>
  <c r="CD122" i="1" s="1"/>
  <c r="CE122" i="1" s="1"/>
  <c r="CF122" i="1" s="1"/>
  <c r="CG122" i="1" s="1"/>
  <c r="CH122" i="1" s="1"/>
  <c r="CI122" i="1" s="1"/>
  <c r="CJ122" i="1" s="1"/>
  <c r="CK122" i="1" s="1"/>
  <c r="CL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DC122" i="1" s="1"/>
  <c r="DD122" i="1" s="1"/>
  <c r="DE122" i="1" s="1"/>
  <c r="DF122" i="1" s="1"/>
  <c r="DG122" i="1" s="1"/>
  <c r="DH122" i="1" s="1"/>
  <c r="DI122" i="1" s="1"/>
  <c r="DJ122" i="1" s="1"/>
  <c r="DK122" i="1" s="1"/>
  <c r="DL122" i="1" s="1"/>
  <c r="DM122" i="1" s="1"/>
  <c r="DN122" i="1" s="1"/>
  <c r="DO122" i="1" s="1"/>
  <c r="DP122" i="1" s="1"/>
  <c r="DQ122" i="1" s="1"/>
  <c r="DR122" i="1" s="1"/>
  <c r="DS122" i="1" s="1"/>
  <c r="DT122" i="1" s="1"/>
  <c r="DU122" i="1" s="1"/>
  <c r="DV122" i="1" s="1"/>
  <c r="DW122" i="1" s="1"/>
  <c r="DX122" i="1" s="1"/>
  <c r="DY122" i="1" s="1"/>
  <c r="DZ122" i="1" s="1"/>
  <c r="EA122" i="1" s="1"/>
  <c r="EB122" i="1" s="1"/>
  <c r="EC122" i="1" s="1"/>
  <c r="ED122" i="1" s="1"/>
  <c r="EE122" i="1" s="1"/>
  <c r="EF122" i="1" s="1"/>
  <c r="EG122" i="1" s="1"/>
  <c r="EH122" i="1" s="1"/>
  <c r="EI122" i="1" s="1"/>
  <c r="EJ122" i="1" s="1"/>
  <c r="EK122" i="1" s="1"/>
  <c r="EL122" i="1" s="1"/>
  <c r="EM122" i="1" s="1"/>
  <c r="EN122" i="1" s="1"/>
  <c r="EO122" i="1" s="1"/>
  <c r="EP122" i="1" s="1"/>
  <c r="EQ122" i="1" s="1"/>
  <c r="ER122" i="1" s="1"/>
  <c r="ES122" i="1" s="1"/>
  <c r="ET122" i="1" s="1"/>
  <c r="EU122" i="1" s="1"/>
  <c r="EV122" i="1" s="1"/>
  <c r="EW122" i="1" s="1"/>
  <c r="EX122" i="1" s="1"/>
  <c r="EY122" i="1" s="1"/>
  <c r="EZ122" i="1" s="1"/>
  <c r="FA122" i="1" s="1"/>
  <c r="FB122" i="1" s="1"/>
  <c r="FC122" i="1" s="1"/>
  <c r="FD122" i="1" s="1"/>
  <c r="FE122" i="1" s="1"/>
  <c r="FF122" i="1" s="1"/>
  <c r="FG122" i="1" s="1"/>
  <c r="FH122" i="1" s="1"/>
  <c r="FI122" i="1" s="1"/>
  <c r="FJ122" i="1" s="1"/>
  <c r="FK122" i="1" s="1"/>
  <c r="FL122" i="1" s="1"/>
  <c r="FM122" i="1" s="1"/>
  <c r="FN122" i="1" s="1"/>
  <c r="FO122" i="1" s="1"/>
  <c r="FP122" i="1" s="1"/>
  <c r="FQ122" i="1" s="1"/>
  <c r="FR122" i="1" s="1"/>
  <c r="FS122" i="1" s="1"/>
  <c r="FT122" i="1" s="1"/>
  <c r="FU122" i="1" s="1"/>
  <c r="FV122" i="1" s="1"/>
  <c r="FW122" i="1" s="1"/>
  <c r="FX122" i="1" s="1"/>
  <c r="FY122" i="1" s="1"/>
  <c r="FZ122" i="1" s="1"/>
  <c r="GA122" i="1" s="1"/>
  <c r="GB122" i="1" s="1"/>
  <c r="GC122" i="1" s="1"/>
  <c r="GD122" i="1" s="1"/>
  <c r="GE122" i="1" s="1"/>
  <c r="GF122" i="1" s="1"/>
  <c r="GG122" i="1" s="1"/>
  <c r="GH122" i="1" s="1"/>
  <c r="GI122" i="1" s="1"/>
  <c r="GJ122" i="1" s="1"/>
  <c r="GK122" i="1" s="1"/>
  <c r="GL122" i="1" s="1"/>
  <c r="GM122" i="1" s="1"/>
  <c r="GN122" i="1" s="1"/>
  <c r="GO122" i="1" s="1"/>
  <c r="GP122" i="1" s="1"/>
  <c r="GQ122" i="1" s="1"/>
  <c r="GR122" i="1" s="1"/>
  <c r="GS122" i="1" s="1"/>
  <c r="GT122" i="1" s="1"/>
  <c r="GU122" i="1" s="1"/>
  <c r="GV122" i="1" s="1"/>
  <c r="GW122" i="1" s="1"/>
  <c r="GX122" i="1" s="1"/>
  <c r="GY122" i="1" s="1"/>
  <c r="GZ122" i="1" s="1"/>
  <c r="HA122" i="1" s="1"/>
  <c r="HB122" i="1" s="1"/>
  <c r="HC122" i="1" s="1"/>
  <c r="HD122" i="1" s="1"/>
  <c r="HE122" i="1" s="1"/>
  <c r="HF122" i="1" s="1"/>
  <c r="HG122" i="1" s="1"/>
  <c r="HH122" i="1" s="1"/>
  <c r="HI122" i="1" s="1"/>
  <c r="HJ122" i="1" s="1"/>
  <c r="HK122" i="1" s="1"/>
  <c r="HL122" i="1" s="1"/>
  <c r="HM122" i="1" s="1"/>
  <c r="HN122" i="1" s="1"/>
  <c r="HO122" i="1" s="1"/>
  <c r="HP122" i="1" s="1"/>
  <c r="HQ122" i="1" s="1"/>
  <c r="HR122" i="1" s="1"/>
  <c r="HS122" i="1" s="1"/>
  <c r="HT122" i="1" s="1"/>
  <c r="HU122" i="1" s="1"/>
  <c r="HV122" i="1" s="1"/>
  <c r="HW122" i="1" s="1"/>
  <c r="HX122" i="1" s="1"/>
  <c r="HY122" i="1" s="1"/>
  <c r="HZ122" i="1" s="1"/>
  <c r="IA122" i="1" s="1"/>
  <c r="IB122" i="1" s="1"/>
  <c r="IC122" i="1" s="1"/>
  <c r="ID122" i="1" s="1"/>
  <c r="IE122" i="1" s="1"/>
  <c r="IF122" i="1" s="1"/>
  <c r="IG122" i="1" s="1"/>
  <c r="IH122" i="1" s="1"/>
  <c r="II122" i="1" s="1"/>
  <c r="IJ122" i="1" s="1"/>
  <c r="IK122" i="1" s="1"/>
  <c r="IL122" i="1" s="1"/>
  <c r="IM122" i="1" s="1"/>
  <c r="IN122" i="1" s="1"/>
  <c r="IO122" i="1" s="1"/>
  <c r="IP122" i="1" s="1"/>
  <c r="IQ122" i="1" s="1"/>
  <c r="IR122" i="1" s="1"/>
  <c r="IS122" i="1" s="1"/>
  <c r="IT122" i="1" s="1"/>
  <c r="IU122" i="1" s="1"/>
  <c r="IV122" i="1" s="1"/>
  <c r="IW122" i="1" s="1"/>
  <c r="IX122" i="1" s="1"/>
  <c r="IY122" i="1" s="1"/>
  <c r="IZ122" i="1" s="1"/>
  <c r="JA122" i="1" s="1"/>
  <c r="JB122" i="1" s="1"/>
  <c r="JC122" i="1" s="1"/>
  <c r="JD122" i="1" s="1"/>
  <c r="JE122" i="1" s="1"/>
  <c r="JF122" i="1" s="1"/>
  <c r="JG122" i="1" s="1"/>
  <c r="JH122" i="1" s="1"/>
  <c r="JI122" i="1" s="1"/>
  <c r="JJ122" i="1" s="1"/>
  <c r="JK122" i="1" s="1"/>
  <c r="JL122" i="1" s="1"/>
  <c r="JM122" i="1" s="1"/>
  <c r="JN122" i="1" s="1"/>
  <c r="JO122" i="1" s="1"/>
  <c r="JP122" i="1" s="1"/>
  <c r="JQ122" i="1" s="1"/>
  <c r="JR122" i="1" s="1"/>
  <c r="JS122" i="1" s="1"/>
  <c r="JT122" i="1" s="1"/>
  <c r="JU122" i="1" s="1"/>
  <c r="JV122" i="1" s="1"/>
  <c r="JW122" i="1" s="1"/>
  <c r="JX122" i="1" s="1"/>
  <c r="JY122" i="1" s="1"/>
  <c r="JZ122" i="1" s="1"/>
  <c r="KA122" i="1" s="1"/>
  <c r="KB122" i="1" s="1"/>
  <c r="KC122" i="1" s="1"/>
  <c r="KD122" i="1" s="1"/>
  <c r="KE122" i="1" s="1"/>
  <c r="KF122" i="1" s="1"/>
  <c r="KG122" i="1" s="1"/>
  <c r="KH122" i="1" s="1"/>
  <c r="KI122" i="1" s="1"/>
  <c r="KJ122" i="1" s="1"/>
  <c r="KK122" i="1" s="1"/>
  <c r="KL122" i="1" s="1"/>
  <c r="KM122" i="1" s="1"/>
  <c r="KN122" i="1" s="1"/>
  <c r="KO122" i="1" s="1"/>
  <c r="KP122" i="1" s="1"/>
  <c r="KQ122" i="1" s="1"/>
  <c r="KR122" i="1" s="1"/>
  <c r="KS122" i="1" s="1"/>
  <c r="KT122" i="1" s="1"/>
  <c r="KU122" i="1" s="1"/>
  <c r="KV122" i="1" s="1"/>
  <c r="KW122" i="1" s="1"/>
  <c r="KX122" i="1" s="1"/>
  <c r="KY122" i="1" s="1"/>
  <c r="KZ122" i="1" s="1"/>
  <c r="LA122" i="1" s="1"/>
  <c r="LB122" i="1" s="1"/>
  <c r="LC122" i="1" s="1"/>
  <c r="LD122" i="1" s="1"/>
  <c r="LE122" i="1" s="1"/>
  <c r="LF122" i="1" s="1"/>
  <c r="LG122" i="1" s="1"/>
  <c r="LH122" i="1" s="1"/>
  <c r="LI122" i="1" s="1"/>
  <c r="LJ122" i="1" s="1"/>
  <c r="LK122" i="1" s="1"/>
  <c r="LL122" i="1" s="1"/>
  <c r="LM122" i="1" s="1"/>
  <c r="LN122" i="1" s="1"/>
  <c r="LO122" i="1" s="1"/>
  <c r="LP122" i="1" s="1"/>
  <c r="LQ122" i="1" s="1"/>
  <c r="LR122" i="1" s="1"/>
  <c r="LS122" i="1" s="1"/>
  <c r="LT122" i="1" s="1"/>
  <c r="LU122" i="1" s="1"/>
  <c r="LV122" i="1" s="1"/>
  <c r="LW122" i="1" s="1"/>
  <c r="LX122" i="1" s="1"/>
  <c r="LY122" i="1" s="1"/>
  <c r="LZ122" i="1" s="1"/>
  <c r="MA122" i="1" s="1"/>
  <c r="MB122" i="1" s="1"/>
  <c r="MC122" i="1" s="1"/>
  <c r="MD122" i="1" s="1"/>
  <c r="ME122" i="1" s="1"/>
  <c r="MF122" i="1" s="1"/>
  <c r="MG122" i="1" s="1"/>
  <c r="MH122" i="1" s="1"/>
  <c r="MI122" i="1" s="1"/>
  <c r="MJ122" i="1" s="1"/>
  <c r="MK122" i="1" s="1"/>
  <c r="ML122" i="1" s="1"/>
  <c r="MM122" i="1" s="1"/>
  <c r="MN122" i="1" s="1"/>
  <c r="MO122" i="1" s="1"/>
  <c r="MP122" i="1" s="1"/>
  <c r="MQ122" i="1" s="1"/>
  <c r="MR122" i="1" s="1"/>
  <c r="MS122" i="1" s="1"/>
  <c r="MT122" i="1" s="1"/>
  <c r="MU122" i="1" s="1"/>
  <c r="MV122" i="1" s="1"/>
  <c r="MW122" i="1" s="1"/>
  <c r="MX122" i="1" s="1"/>
  <c r="MY111" i="1"/>
  <c r="MZ111" i="1"/>
  <c r="NA111" i="1"/>
  <c r="NB111" i="1"/>
  <c r="NC111" i="1"/>
  <c r="ND111" i="1"/>
  <c r="NE111" i="1"/>
  <c r="NF111" i="1"/>
  <c r="NG111" i="1"/>
  <c r="NH111" i="1"/>
  <c r="NI111" i="1"/>
  <c r="NJ111" i="1"/>
  <c r="NK111" i="1"/>
  <c r="NL111" i="1"/>
  <c r="NM111" i="1"/>
  <c r="NN111" i="1"/>
  <c r="NO111" i="1"/>
  <c r="NP111" i="1"/>
  <c r="NQ111" i="1"/>
  <c r="NR111" i="1"/>
  <c r="NS111" i="1"/>
  <c r="NT111" i="1"/>
  <c r="NU111" i="1"/>
  <c r="NV111" i="1"/>
  <c r="NW111" i="1"/>
  <c r="NX111" i="1"/>
  <c r="NY111" i="1"/>
  <c r="NZ111" i="1"/>
  <c r="OA111" i="1"/>
  <c r="OB111" i="1"/>
  <c r="OC111" i="1"/>
  <c r="OD111" i="1"/>
  <c r="OE111" i="1"/>
  <c r="OF111" i="1"/>
  <c r="OG111" i="1"/>
  <c r="OH111" i="1"/>
  <c r="OI111" i="1"/>
  <c r="OJ111" i="1"/>
  <c r="OK111" i="1"/>
  <c r="OL111" i="1"/>
  <c r="OM111" i="1"/>
  <c r="ON111" i="1"/>
  <c r="OO111" i="1"/>
  <c r="OP111" i="1"/>
  <c r="OQ111" i="1"/>
  <c r="OR111" i="1"/>
  <c r="OS111" i="1"/>
  <c r="OT111" i="1"/>
  <c r="OU111" i="1"/>
  <c r="OV111" i="1"/>
  <c r="OW111" i="1"/>
  <c r="OX111" i="1"/>
  <c r="OY111" i="1"/>
  <c r="OZ111" i="1"/>
  <c r="PA111" i="1"/>
  <c r="PB111" i="1"/>
  <c r="PC111" i="1"/>
  <c r="PD111" i="1"/>
  <c r="PE111" i="1"/>
  <c r="PF111" i="1"/>
  <c r="MY125" i="1"/>
  <c r="MZ125" i="1"/>
  <c r="NA125" i="1"/>
  <c r="NB125" i="1"/>
  <c r="NC125" i="1"/>
  <c r="ND125" i="1"/>
  <c r="NE125" i="1"/>
  <c r="NF125" i="1"/>
  <c r="NG125" i="1"/>
  <c r="NH125" i="1"/>
  <c r="NI125" i="1"/>
  <c r="NJ125" i="1"/>
  <c r="NK125" i="1"/>
  <c r="NL125" i="1"/>
  <c r="NM125" i="1"/>
  <c r="NN125" i="1"/>
  <c r="NO125" i="1"/>
  <c r="NP125" i="1"/>
  <c r="NQ125" i="1"/>
  <c r="NR125" i="1"/>
  <c r="NS125" i="1"/>
  <c r="NT125" i="1"/>
  <c r="NU125" i="1"/>
  <c r="NV125" i="1"/>
  <c r="NW125" i="1"/>
  <c r="NX125" i="1"/>
  <c r="NY125" i="1"/>
  <c r="NZ125" i="1"/>
  <c r="OA125" i="1"/>
  <c r="OB125" i="1"/>
  <c r="OC125" i="1"/>
  <c r="OD125" i="1"/>
  <c r="OE125" i="1"/>
  <c r="OF125" i="1"/>
  <c r="OG125" i="1"/>
  <c r="OH125" i="1"/>
  <c r="OI125" i="1"/>
  <c r="OJ125" i="1"/>
  <c r="OK125" i="1"/>
  <c r="OL125" i="1"/>
  <c r="OM125" i="1"/>
  <c r="ON125" i="1"/>
  <c r="OO125" i="1"/>
  <c r="OP125" i="1"/>
  <c r="OQ125" i="1"/>
  <c r="OR125" i="1"/>
  <c r="OS125" i="1"/>
  <c r="OT125" i="1"/>
  <c r="OU125" i="1"/>
  <c r="OV125" i="1"/>
  <c r="OW125" i="1"/>
  <c r="OX125" i="1"/>
  <c r="OY125" i="1"/>
  <c r="OZ125" i="1"/>
  <c r="PA125" i="1"/>
  <c r="PB125" i="1"/>
  <c r="PC125" i="1"/>
  <c r="PD125" i="1"/>
  <c r="PE125" i="1"/>
  <c r="PF125" i="1"/>
  <c r="MY126" i="1"/>
  <c r="MZ126" i="1"/>
  <c r="NA126" i="1"/>
  <c r="NB126" i="1"/>
  <c r="NC126" i="1"/>
  <c r="ND126" i="1"/>
  <c r="NE126" i="1"/>
  <c r="NF126" i="1"/>
  <c r="NG126" i="1"/>
  <c r="NH126" i="1"/>
  <c r="NI126" i="1"/>
  <c r="NJ126" i="1"/>
  <c r="NK126" i="1"/>
  <c r="NL126" i="1"/>
  <c r="NM126" i="1"/>
  <c r="NN126" i="1"/>
  <c r="NO126" i="1"/>
  <c r="NP126" i="1"/>
  <c r="NQ126" i="1"/>
  <c r="NR126" i="1"/>
  <c r="NS126" i="1"/>
  <c r="NT126" i="1"/>
  <c r="NU126" i="1"/>
  <c r="NV126" i="1"/>
  <c r="NW126" i="1"/>
  <c r="NX126" i="1"/>
  <c r="NY126" i="1"/>
  <c r="NZ126" i="1"/>
  <c r="OA126" i="1"/>
  <c r="OB126" i="1"/>
  <c r="OC126" i="1"/>
  <c r="OD126" i="1"/>
  <c r="OE126" i="1"/>
  <c r="OF126" i="1"/>
  <c r="OG126" i="1"/>
  <c r="OH126" i="1"/>
  <c r="OI126" i="1"/>
  <c r="OJ126" i="1"/>
  <c r="OK126" i="1"/>
  <c r="OL126" i="1"/>
  <c r="OM126" i="1"/>
  <c r="ON126" i="1"/>
  <c r="OO126" i="1"/>
  <c r="OP126" i="1"/>
  <c r="OQ126" i="1"/>
  <c r="OR126" i="1"/>
  <c r="OS126" i="1"/>
  <c r="OT126" i="1"/>
  <c r="OU126" i="1"/>
  <c r="OV126" i="1"/>
  <c r="OW126" i="1"/>
  <c r="OX126" i="1"/>
  <c r="OY126" i="1"/>
  <c r="OZ126" i="1"/>
  <c r="PA126" i="1"/>
  <c r="PB126" i="1"/>
  <c r="PC126" i="1"/>
  <c r="PD126" i="1"/>
  <c r="PE126" i="1"/>
  <c r="PF126" i="1"/>
  <c r="MY124" i="1"/>
  <c r="MZ124" i="1"/>
  <c r="NA124" i="1"/>
  <c r="NB124" i="1"/>
  <c r="NC124" i="1"/>
  <c r="ND124" i="1"/>
  <c r="NE124" i="1"/>
  <c r="NF124" i="1"/>
  <c r="NG124" i="1"/>
  <c r="NH124" i="1"/>
  <c r="NI124" i="1"/>
  <c r="NJ124" i="1"/>
  <c r="NK124" i="1"/>
  <c r="NL124" i="1"/>
  <c r="NM124" i="1"/>
  <c r="NN124" i="1"/>
  <c r="NO124" i="1"/>
  <c r="NP124" i="1"/>
  <c r="NQ124" i="1"/>
  <c r="NR124" i="1"/>
  <c r="NS124" i="1"/>
  <c r="NT124" i="1"/>
  <c r="NU124" i="1"/>
  <c r="NV124" i="1"/>
  <c r="NW124" i="1"/>
  <c r="NX124" i="1"/>
  <c r="NY124" i="1"/>
  <c r="NZ124" i="1"/>
  <c r="OA124" i="1"/>
  <c r="OB124" i="1"/>
  <c r="OC124" i="1"/>
  <c r="OD124" i="1"/>
  <c r="OE124" i="1"/>
  <c r="OF124" i="1"/>
  <c r="OG124" i="1"/>
  <c r="OH124" i="1"/>
  <c r="OI124" i="1"/>
  <c r="OJ124" i="1"/>
  <c r="OK124" i="1"/>
  <c r="OL124" i="1"/>
  <c r="OM124" i="1"/>
  <c r="ON124" i="1"/>
  <c r="OO124" i="1"/>
  <c r="OP124" i="1"/>
  <c r="OQ124" i="1"/>
  <c r="OR124" i="1"/>
  <c r="OS124" i="1"/>
  <c r="OT124" i="1"/>
  <c r="OU124" i="1"/>
  <c r="OV124" i="1"/>
  <c r="OW124" i="1"/>
  <c r="OX124" i="1"/>
  <c r="OY124" i="1"/>
  <c r="OZ124" i="1"/>
  <c r="PA124" i="1"/>
  <c r="PB124" i="1"/>
  <c r="PC124" i="1"/>
  <c r="PD124" i="1"/>
  <c r="PE124" i="1"/>
  <c r="PF124" i="1"/>
  <c r="B127" i="1"/>
  <c r="B125" i="1"/>
  <c r="C125" i="1" s="1"/>
  <c r="B126" i="1"/>
  <c r="C126" i="1" s="1"/>
  <c r="D126" i="1" s="1"/>
  <c r="E126" i="1" s="1"/>
  <c r="F126" i="1" s="1"/>
  <c r="G126" i="1" s="1"/>
  <c r="H126" i="1" s="1"/>
  <c r="I126" i="1" s="1"/>
  <c r="J126" i="1" s="1"/>
  <c r="K126" i="1" s="1"/>
  <c r="L126" i="1" s="1"/>
  <c r="M126" i="1" s="1"/>
  <c r="N126" i="1" s="1"/>
  <c r="O126" i="1" s="1"/>
  <c r="P126" i="1" s="1"/>
  <c r="Q126" i="1" s="1"/>
  <c r="R126" i="1" s="1"/>
  <c r="S126" i="1" s="1"/>
  <c r="T126" i="1" s="1"/>
  <c r="U126" i="1" s="1"/>
  <c r="V126" i="1" s="1"/>
  <c r="W126" i="1" s="1"/>
  <c r="X126" i="1" s="1"/>
  <c r="Y126" i="1" s="1"/>
  <c r="Z126" i="1" s="1"/>
  <c r="AA126" i="1" s="1"/>
  <c r="AB126" i="1" s="1"/>
  <c r="AC126" i="1" s="1"/>
  <c r="AD126" i="1" s="1"/>
  <c r="AE126" i="1" s="1"/>
  <c r="AF126" i="1" s="1"/>
  <c r="AG126" i="1" s="1"/>
  <c r="AH126" i="1" s="1"/>
  <c r="AI126" i="1" s="1"/>
  <c r="AJ126" i="1" s="1"/>
  <c r="AK126" i="1" s="1"/>
  <c r="AL126" i="1" s="1"/>
  <c r="AM126" i="1" s="1"/>
  <c r="AN126" i="1" s="1"/>
  <c r="AO126" i="1" s="1"/>
  <c r="AP126" i="1" s="1"/>
  <c r="AQ126" i="1" s="1"/>
  <c r="AR126" i="1" s="1"/>
  <c r="AS126" i="1" s="1"/>
  <c r="AT126" i="1" s="1"/>
  <c r="AU126" i="1" s="1"/>
  <c r="AV126" i="1" s="1"/>
  <c r="AW126" i="1" s="1"/>
  <c r="AX126" i="1" s="1"/>
  <c r="AY126" i="1" s="1"/>
  <c r="AZ126" i="1" s="1"/>
  <c r="BA126" i="1" s="1"/>
  <c r="BB126" i="1" s="1"/>
  <c r="BC126" i="1" s="1"/>
  <c r="BD126" i="1" s="1"/>
  <c r="BE126" i="1" s="1"/>
  <c r="BF126" i="1" s="1"/>
  <c r="BG126" i="1" s="1"/>
  <c r="BH126" i="1" s="1"/>
  <c r="BI126" i="1" s="1"/>
  <c r="BJ126" i="1" s="1"/>
  <c r="BK126" i="1" s="1"/>
  <c r="BL126" i="1" s="1"/>
  <c r="BM126" i="1" s="1"/>
  <c r="BN126" i="1" s="1"/>
  <c r="BO126" i="1" s="1"/>
  <c r="BP126" i="1" s="1"/>
  <c r="BQ126" i="1" s="1"/>
  <c r="BR126" i="1" s="1"/>
  <c r="BS126" i="1" s="1"/>
  <c r="BT126" i="1" s="1"/>
  <c r="BU126" i="1" s="1"/>
  <c r="BV126" i="1" s="1"/>
  <c r="BW126" i="1" s="1"/>
  <c r="BX126" i="1" s="1"/>
  <c r="BY126" i="1" s="1"/>
  <c r="BZ126" i="1" s="1"/>
  <c r="CA126" i="1" s="1"/>
  <c r="CB126" i="1" s="1"/>
  <c r="CC126" i="1" s="1"/>
  <c r="CD126" i="1" s="1"/>
  <c r="CE126" i="1" s="1"/>
  <c r="CF126" i="1" s="1"/>
  <c r="CG126" i="1" s="1"/>
  <c r="CH126" i="1" s="1"/>
  <c r="CI126" i="1" s="1"/>
  <c r="CJ126" i="1" s="1"/>
  <c r="CK126" i="1" s="1"/>
  <c r="CL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DC126" i="1" s="1"/>
  <c r="DD126" i="1" s="1"/>
  <c r="DE126" i="1" s="1"/>
  <c r="DF126" i="1" s="1"/>
  <c r="DG126" i="1" s="1"/>
  <c r="DH126" i="1" s="1"/>
  <c r="DI126" i="1" s="1"/>
  <c r="DJ126" i="1" s="1"/>
  <c r="DK126" i="1" s="1"/>
  <c r="DL126" i="1" s="1"/>
  <c r="DM126" i="1" s="1"/>
  <c r="DN126" i="1" s="1"/>
  <c r="DO126" i="1" s="1"/>
  <c r="DP126" i="1" s="1"/>
  <c r="DQ126" i="1" s="1"/>
  <c r="DR126" i="1" s="1"/>
  <c r="DS126" i="1" s="1"/>
  <c r="DT126" i="1" s="1"/>
  <c r="DU126" i="1" s="1"/>
  <c r="DV126" i="1" s="1"/>
  <c r="DW126" i="1" s="1"/>
  <c r="DX126" i="1" s="1"/>
  <c r="DY126" i="1" s="1"/>
  <c r="DZ126" i="1" s="1"/>
  <c r="EA126" i="1" s="1"/>
  <c r="EB126" i="1" s="1"/>
  <c r="EC126" i="1" s="1"/>
  <c r="ED126" i="1" s="1"/>
  <c r="EE126" i="1" s="1"/>
  <c r="EF126" i="1" s="1"/>
  <c r="EG126" i="1" s="1"/>
  <c r="EH126" i="1" s="1"/>
  <c r="EI126" i="1" s="1"/>
  <c r="EJ126" i="1" s="1"/>
  <c r="EK126" i="1" s="1"/>
  <c r="EL126" i="1" s="1"/>
  <c r="EM126" i="1" s="1"/>
  <c r="EN126" i="1" s="1"/>
  <c r="EO126" i="1" s="1"/>
  <c r="EP126" i="1" s="1"/>
  <c r="EQ126" i="1" s="1"/>
  <c r="ER126" i="1" s="1"/>
  <c r="ES126" i="1" s="1"/>
  <c r="ET126" i="1" s="1"/>
  <c r="EU126" i="1" s="1"/>
  <c r="EV126" i="1" s="1"/>
  <c r="EW126" i="1" s="1"/>
  <c r="EX126" i="1" s="1"/>
  <c r="EY126" i="1" s="1"/>
  <c r="EZ126" i="1" s="1"/>
  <c r="FA126" i="1" s="1"/>
  <c r="FB126" i="1" s="1"/>
  <c r="FC126" i="1" s="1"/>
  <c r="FD126" i="1" s="1"/>
  <c r="FE126" i="1" s="1"/>
  <c r="FF126" i="1" s="1"/>
  <c r="FG126" i="1" s="1"/>
  <c r="FH126" i="1" s="1"/>
  <c r="FI126" i="1" s="1"/>
  <c r="FJ126" i="1" s="1"/>
  <c r="FK126" i="1" s="1"/>
  <c r="FL126" i="1" s="1"/>
  <c r="FM126" i="1" s="1"/>
  <c r="FN126" i="1" s="1"/>
  <c r="FO126" i="1" s="1"/>
  <c r="FP126" i="1" s="1"/>
  <c r="FQ126" i="1" s="1"/>
  <c r="FR126" i="1" s="1"/>
  <c r="FS126" i="1" s="1"/>
  <c r="FT126" i="1" s="1"/>
  <c r="FU126" i="1" s="1"/>
  <c r="FV126" i="1" s="1"/>
  <c r="FW126" i="1" s="1"/>
  <c r="FX126" i="1" s="1"/>
  <c r="FY126" i="1" s="1"/>
  <c r="FZ126" i="1" s="1"/>
  <c r="GA126" i="1" s="1"/>
  <c r="GB126" i="1" s="1"/>
  <c r="GC126" i="1" s="1"/>
  <c r="GD126" i="1" s="1"/>
  <c r="GE126" i="1" s="1"/>
  <c r="GF126" i="1" s="1"/>
  <c r="GG126" i="1" s="1"/>
  <c r="GH126" i="1" s="1"/>
  <c r="GI126" i="1" s="1"/>
  <c r="GJ126" i="1" s="1"/>
  <c r="GK126" i="1" s="1"/>
  <c r="GL126" i="1" s="1"/>
  <c r="GM126" i="1" s="1"/>
  <c r="GN126" i="1" s="1"/>
  <c r="GO126" i="1" s="1"/>
  <c r="GP126" i="1" s="1"/>
  <c r="GQ126" i="1" s="1"/>
  <c r="GR126" i="1" s="1"/>
  <c r="GS126" i="1" s="1"/>
  <c r="GT126" i="1" s="1"/>
  <c r="GU126" i="1" s="1"/>
  <c r="GV126" i="1" s="1"/>
  <c r="GW126" i="1" s="1"/>
  <c r="GX126" i="1" s="1"/>
  <c r="GY126" i="1" s="1"/>
  <c r="GZ126" i="1" s="1"/>
  <c r="HA126" i="1" s="1"/>
  <c r="HB126" i="1" s="1"/>
  <c r="HC126" i="1" s="1"/>
  <c r="HD126" i="1" s="1"/>
  <c r="HE126" i="1" s="1"/>
  <c r="HF126" i="1" s="1"/>
  <c r="HG126" i="1" s="1"/>
  <c r="HH126" i="1" s="1"/>
  <c r="HI126" i="1" s="1"/>
  <c r="HJ126" i="1" s="1"/>
  <c r="HK126" i="1" s="1"/>
  <c r="HL126" i="1" s="1"/>
  <c r="HM126" i="1" s="1"/>
  <c r="HN126" i="1" s="1"/>
  <c r="HO126" i="1" s="1"/>
  <c r="HP126" i="1" s="1"/>
  <c r="HQ126" i="1" s="1"/>
  <c r="HR126" i="1" s="1"/>
  <c r="HS126" i="1" s="1"/>
  <c r="HT126" i="1" s="1"/>
  <c r="HU126" i="1" s="1"/>
  <c r="HV126" i="1" s="1"/>
  <c r="HW126" i="1" s="1"/>
  <c r="HX126" i="1" s="1"/>
  <c r="HY126" i="1" s="1"/>
  <c r="HZ126" i="1" s="1"/>
  <c r="IA126" i="1" s="1"/>
  <c r="IB126" i="1" s="1"/>
  <c r="IC126" i="1" s="1"/>
  <c r="ID126" i="1" s="1"/>
  <c r="IE126" i="1" s="1"/>
  <c r="IF126" i="1" s="1"/>
  <c r="IG126" i="1" s="1"/>
  <c r="IH126" i="1" s="1"/>
  <c r="II126" i="1" s="1"/>
  <c r="IJ126" i="1" s="1"/>
  <c r="IK126" i="1" s="1"/>
  <c r="IL126" i="1" s="1"/>
  <c r="IM126" i="1" s="1"/>
  <c r="IN126" i="1" s="1"/>
  <c r="IO126" i="1" s="1"/>
  <c r="IP126" i="1" s="1"/>
  <c r="IQ126" i="1" s="1"/>
  <c r="IR126" i="1" s="1"/>
  <c r="IS126" i="1" s="1"/>
  <c r="IT126" i="1" s="1"/>
  <c r="IU126" i="1" s="1"/>
  <c r="IV126" i="1" s="1"/>
  <c r="IW126" i="1" s="1"/>
  <c r="IX126" i="1" s="1"/>
  <c r="IY126" i="1" s="1"/>
  <c r="IZ126" i="1" s="1"/>
  <c r="JA126" i="1" s="1"/>
  <c r="JB126" i="1" s="1"/>
  <c r="JC126" i="1" s="1"/>
  <c r="JD126" i="1" s="1"/>
  <c r="JE126" i="1" s="1"/>
  <c r="JF126" i="1" s="1"/>
  <c r="JG126" i="1" s="1"/>
  <c r="JH126" i="1" s="1"/>
  <c r="JI126" i="1" s="1"/>
  <c r="JJ126" i="1" s="1"/>
  <c r="JK126" i="1" s="1"/>
  <c r="JL126" i="1" s="1"/>
  <c r="JM126" i="1" s="1"/>
  <c r="JN126" i="1" s="1"/>
  <c r="JO126" i="1" s="1"/>
  <c r="JP126" i="1" s="1"/>
  <c r="JQ126" i="1" s="1"/>
  <c r="JR126" i="1" s="1"/>
  <c r="JS126" i="1" s="1"/>
  <c r="JT126" i="1" s="1"/>
  <c r="JU126" i="1" s="1"/>
  <c r="JV126" i="1" s="1"/>
  <c r="JW126" i="1" s="1"/>
  <c r="JX126" i="1" s="1"/>
  <c r="JY126" i="1" s="1"/>
  <c r="JZ126" i="1" s="1"/>
  <c r="KA126" i="1" s="1"/>
  <c r="KB126" i="1" s="1"/>
  <c r="KC126" i="1" s="1"/>
  <c r="KD126" i="1" s="1"/>
  <c r="KE126" i="1" s="1"/>
  <c r="KF126" i="1" s="1"/>
  <c r="KG126" i="1" s="1"/>
  <c r="KH126" i="1" s="1"/>
  <c r="KI126" i="1" s="1"/>
  <c r="KJ126" i="1" s="1"/>
  <c r="KK126" i="1" s="1"/>
  <c r="KL126" i="1" s="1"/>
  <c r="KM126" i="1" s="1"/>
  <c r="KN126" i="1" s="1"/>
  <c r="KO126" i="1" s="1"/>
  <c r="KP126" i="1" s="1"/>
  <c r="KQ126" i="1" s="1"/>
  <c r="KR126" i="1" s="1"/>
  <c r="KS126" i="1" s="1"/>
  <c r="KT126" i="1" s="1"/>
  <c r="KU126" i="1" s="1"/>
  <c r="KV126" i="1" s="1"/>
  <c r="KW126" i="1" s="1"/>
  <c r="KX126" i="1" s="1"/>
  <c r="KY126" i="1" s="1"/>
  <c r="KZ126" i="1" s="1"/>
  <c r="LA126" i="1" s="1"/>
  <c r="LB126" i="1" s="1"/>
  <c r="LC126" i="1" s="1"/>
  <c r="LD126" i="1" s="1"/>
  <c r="LE126" i="1" s="1"/>
  <c r="LF126" i="1" s="1"/>
  <c r="LG126" i="1" s="1"/>
  <c r="LH126" i="1" s="1"/>
  <c r="LI126" i="1" s="1"/>
  <c r="LJ126" i="1" s="1"/>
  <c r="LK126" i="1" s="1"/>
  <c r="LL126" i="1" s="1"/>
  <c r="LM126" i="1" s="1"/>
  <c r="LN126" i="1" s="1"/>
  <c r="LO126" i="1" s="1"/>
  <c r="LP126" i="1" s="1"/>
  <c r="LQ126" i="1" s="1"/>
  <c r="LR126" i="1" s="1"/>
  <c r="LS126" i="1" s="1"/>
  <c r="LT126" i="1" s="1"/>
  <c r="LU126" i="1" s="1"/>
  <c r="LV126" i="1" s="1"/>
  <c r="LW126" i="1" s="1"/>
  <c r="LX126" i="1" s="1"/>
  <c r="LY126" i="1" s="1"/>
  <c r="LZ126" i="1" s="1"/>
  <c r="MA126" i="1" s="1"/>
  <c r="MB126" i="1" s="1"/>
  <c r="MC126" i="1" s="1"/>
  <c r="MD126" i="1" s="1"/>
  <c r="ME126" i="1" s="1"/>
  <c r="MF126" i="1" s="1"/>
  <c r="MG126" i="1" s="1"/>
  <c r="MH126" i="1" s="1"/>
  <c r="MI126" i="1" s="1"/>
  <c r="MJ126" i="1" s="1"/>
  <c r="MK126" i="1" s="1"/>
  <c r="ML126" i="1" s="1"/>
  <c r="MM126" i="1" s="1"/>
  <c r="MN126" i="1" s="1"/>
  <c r="MO126" i="1" s="1"/>
  <c r="MP126" i="1" s="1"/>
  <c r="MQ126" i="1" s="1"/>
  <c r="MR126" i="1" s="1"/>
  <c r="MS126" i="1" s="1"/>
  <c r="MT126" i="1" s="1"/>
  <c r="MU126" i="1" s="1"/>
  <c r="MV126" i="1" s="1"/>
  <c r="MW126" i="1" s="1"/>
  <c r="MX126" i="1" s="1"/>
  <c r="B124" i="1"/>
  <c r="C124" i="1" s="1"/>
  <c r="D124" i="1" s="1"/>
  <c r="E124" i="1" s="1"/>
  <c r="F124" i="1" s="1"/>
  <c r="G124" i="1" s="1"/>
  <c r="H124" i="1" s="1"/>
  <c r="I124" i="1" s="1"/>
  <c r="J124" i="1" s="1"/>
  <c r="K124" i="1" s="1"/>
  <c r="L124" i="1" s="1"/>
  <c r="M124" i="1" s="1"/>
  <c r="N124" i="1" s="1"/>
  <c r="O124" i="1" s="1"/>
  <c r="P124" i="1" s="1"/>
  <c r="Q124" i="1" s="1"/>
  <c r="R124" i="1" s="1"/>
  <c r="S124" i="1" s="1"/>
  <c r="T124" i="1" s="1"/>
  <c r="U124" i="1" s="1"/>
  <c r="V124" i="1" s="1"/>
  <c r="W124" i="1" s="1"/>
  <c r="X124" i="1" s="1"/>
  <c r="Y124" i="1" s="1"/>
  <c r="Z124" i="1" s="1"/>
  <c r="AA124" i="1" s="1"/>
  <c r="AB124" i="1" s="1"/>
  <c r="AC124" i="1" s="1"/>
  <c r="AD124" i="1" s="1"/>
  <c r="AE124" i="1" s="1"/>
  <c r="AF124" i="1" s="1"/>
  <c r="AG124" i="1" s="1"/>
  <c r="AH124" i="1" s="1"/>
  <c r="AI124" i="1" s="1"/>
  <c r="AJ124" i="1" s="1"/>
  <c r="AK124" i="1" s="1"/>
  <c r="AL124" i="1" s="1"/>
  <c r="AM124" i="1" s="1"/>
  <c r="AN124" i="1" s="1"/>
  <c r="AO124" i="1" s="1"/>
  <c r="AP124" i="1" s="1"/>
  <c r="AQ124" i="1" s="1"/>
  <c r="AR124" i="1" s="1"/>
  <c r="AS124" i="1" s="1"/>
  <c r="AT124" i="1" s="1"/>
  <c r="AU124" i="1" s="1"/>
  <c r="AV124" i="1" s="1"/>
  <c r="AW124" i="1" s="1"/>
  <c r="AX124" i="1" s="1"/>
  <c r="AY124" i="1" s="1"/>
  <c r="AZ124" i="1" s="1"/>
  <c r="BA124" i="1" s="1"/>
  <c r="BB124" i="1" s="1"/>
  <c r="BC124" i="1" s="1"/>
  <c r="BD124" i="1" s="1"/>
  <c r="BE124" i="1" s="1"/>
  <c r="BF124" i="1" s="1"/>
  <c r="BG124" i="1" s="1"/>
  <c r="BH124" i="1" s="1"/>
  <c r="BI124" i="1" s="1"/>
  <c r="BJ124" i="1" s="1"/>
  <c r="BK124" i="1" s="1"/>
  <c r="BL124" i="1" s="1"/>
  <c r="BM124" i="1" s="1"/>
  <c r="BN124" i="1" s="1"/>
  <c r="BO124" i="1" s="1"/>
  <c r="BP124" i="1" s="1"/>
  <c r="BQ124" i="1" s="1"/>
  <c r="BR124" i="1" s="1"/>
  <c r="BS124" i="1" s="1"/>
  <c r="BT124" i="1" s="1"/>
  <c r="BU124" i="1" s="1"/>
  <c r="BV124" i="1" s="1"/>
  <c r="BW124" i="1" s="1"/>
  <c r="BX124" i="1" s="1"/>
  <c r="BY124" i="1" s="1"/>
  <c r="BZ124" i="1" s="1"/>
  <c r="CA124" i="1" s="1"/>
  <c r="CB124" i="1" s="1"/>
  <c r="CC124" i="1" s="1"/>
  <c r="CD124" i="1" s="1"/>
  <c r="CE124" i="1" s="1"/>
  <c r="CF124" i="1" s="1"/>
  <c r="CG124" i="1" s="1"/>
  <c r="CH124" i="1" s="1"/>
  <c r="CI124" i="1" s="1"/>
  <c r="CJ124" i="1" s="1"/>
  <c r="CK124" i="1" s="1"/>
  <c r="CL124" i="1" s="1"/>
  <c r="CM124" i="1" s="1"/>
  <c r="CN124" i="1" s="1"/>
  <c r="CO124" i="1" s="1"/>
  <c r="CP124" i="1" s="1"/>
  <c r="CQ124" i="1" s="1"/>
  <c r="CR124" i="1" s="1"/>
  <c r="CS124" i="1" s="1"/>
  <c r="CT124" i="1" s="1"/>
  <c r="CU124" i="1" s="1"/>
  <c r="CV124" i="1" s="1"/>
  <c r="CW124" i="1" s="1"/>
  <c r="CX124" i="1" s="1"/>
  <c r="CY124" i="1" s="1"/>
  <c r="CZ124" i="1" s="1"/>
  <c r="DA124" i="1" s="1"/>
  <c r="DB124" i="1" s="1"/>
  <c r="DC124" i="1" s="1"/>
  <c r="DD124" i="1" s="1"/>
  <c r="DE124" i="1" s="1"/>
  <c r="DF124" i="1" s="1"/>
  <c r="DG124" i="1" s="1"/>
  <c r="DH124" i="1" s="1"/>
  <c r="DI124" i="1" s="1"/>
  <c r="DJ124" i="1" s="1"/>
  <c r="DK124" i="1" s="1"/>
  <c r="DL124" i="1" s="1"/>
  <c r="DM124" i="1" s="1"/>
  <c r="DN124" i="1" s="1"/>
  <c r="DO124" i="1" s="1"/>
  <c r="DP124" i="1" s="1"/>
  <c r="DQ124" i="1" s="1"/>
  <c r="DR124" i="1" s="1"/>
  <c r="DS124" i="1" s="1"/>
  <c r="DT124" i="1" s="1"/>
  <c r="DU124" i="1" s="1"/>
  <c r="DV124" i="1" s="1"/>
  <c r="DW124" i="1" s="1"/>
  <c r="DX124" i="1" s="1"/>
  <c r="DY124" i="1" s="1"/>
  <c r="DZ124" i="1" s="1"/>
  <c r="EA124" i="1" s="1"/>
  <c r="EB124" i="1" s="1"/>
  <c r="EC124" i="1" s="1"/>
  <c r="ED124" i="1" s="1"/>
  <c r="EE124" i="1" s="1"/>
  <c r="EF124" i="1" s="1"/>
  <c r="EG124" i="1" s="1"/>
  <c r="EH124" i="1" s="1"/>
  <c r="EI124" i="1" s="1"/>
  <c r="EJ124" i="1" s="1"/>
  <c r="EK124" i="1" s="1"/>
  <c r="EL124" i="1" s="1"/>
  <c r="EM124" i="1" s="1"/>
  <c r="EN124" i="1" s="1"/>
  <c r="EO124" i="1" s="1"/>
  <c r="EP124" i="1" s="1"/>
  <c r="EQ124" i="1" s="1"/>
  <c r="ER124" i="1" s="1"/>
  <c r="ES124" i="1" s="1"/>
  <c r="ET124" i="1" s="1"/>
  <c r="EU124" i="1" s="1"/>
  <c r="EV124" i="1" s="1"/>
  <c r="EW124" i="1" s="1"/>
  <c r="EX124" i="1" s="1"/>
  <c r="EY124" i="1" s="1"/>
  <c r="EZ124" i="1" s="1"/>
  <c r="FA124" i="1" s="1"/>
  <c r="FB124" i="1" s="1"/>
  <c r="FC124" i="1" s="1"/>
  <c r="FD124" i="1" s="1"/>
  <c r="FE124" i="1" s="1"/>
  <c r="FF124" i="1" s="1"/>
  <c r="FG124" i="1" s="1"/>
  <c r="FH124" i="1" s="1"/>
  <c r="FI124" i="1" s="1"/>
  <c r="FJ124" i="1" s="1"/>
  <c r="FK124" i="1" s="1"/>
  <c r="FL124" i="1" s="1"/>
  <c r="FM124" i="1" s="1"/>
  <c r="FN124" i="1" s="1"/>
  <c r="FO124" i="1" s="1"/>
  <c r="FP124" i="1" s="1"/>
  <c r="FQ124" i="1" s="1"/>
  <c r="FR124" i="1" s="1"/>
  <c r="FS124" i="1" s="1"/>
  <c r="FT124" i="1" s="1"/>
  <c r="FU124" i="1" s="1"/>
  <c r="FV124" i="1" s="1"/>
  <c r="FW124" i="1" s="1"/>
  <c r="FX124" i="1" s="1"/>
  <c r="FY124" i="1" s="1"/>
  <c r="FZ124" i="1" s="1"/>
  <c r="GA124" i="1" s="1"/>
  <c r="GB124" i="1" s="1"/>
  <c r="GC124" i="1" s="1"/>
  <c r="GD124" i="1" s="1"/>
  <c r="GE124" i="1" s="1"/>
  <c r="GF124" i="1" s="1"/>
  <c r="GG124" i="1" s="1"/>
  <c r="GH124" i="1" s="1"/>
  <c r="GI124" i="1" s="1"/>
  <c r="GJ124" i="1" s="1"/>
  <c r="GK124" i="1" s="1"/>
  <c r="GL124" i="1" s="1"/>
  <c r="GM124" i="1" s="1"/>
  <c r="GN124" i="1" s="1"/>
  <c r="GO124" i="1" s="1"/>
  <c r="GP124" i="1" s="1"/>
  <c r="GQ124" i="1" s="1"/>
  <c r="GR124" i="1" s="1"/>
  <c r="GS124" i="1" s="1"/>
  <c r="GT124" i="1" s="1"/>
  <c r="GU124" i="1" s="1"/>
  <c r="GV124" i="1" s="1"/>
  <c r="GW124" i="1" s="1"/>
  <c r="GX124" i="1" s="1"/>
  <c r="GY124" i="1" s="1"/>
  <c r="GZ124" i="1" s="1"/>
  <c r="HA124" i="1" s="1"/>
  <c r="HB124" i="1" s="1"/>
  <c r="HC124" i="1" s="1"/>
  <c r="HD124" i="1" s="1"/>
  <c r="HE124" i="1" s="1"/>
  <c r="HF124" i="1" s="1"/>
  <c r="HG124" i="1" s="1"/>
  <c r="HH124" i="1" s="1"/>
  <c r="HI124" i="1" s="1"/>
  <c r="HJ124" i="1" s="1"/>
  <c r="HK124" i="1" s="1"/>
  <c r="HL124" i="1" s="1"/>
  <c r="HM124" i="1" s="1"/>
  <c r="HN124" i="1" s="1"/>
  <c r="HO124" i="1" s="1"/>
  <c r="HP124" i="1" s="1"/>
  <c r="HQ124" i="1" s="1"/>
  <c r="HR124" i="1" s="1"/>
  <c r="HS124" i="1" s="1"/>
  <c r="HT124" i="1" s="1"/>
  <c r="HU124" i="1" s="1"/>
  <c r="HV124" i="1" s="1"/>
  <c r="HW124" i="1" s="1"/>
  <c r="HX124" i="1" s="1"/>
  <c r="HY124" i="1" s="1"/>
  <c r="HZ124" i="1" s="1"/>
  <c r="IA124" i="1" s="1"/>
  <c r="IB124" i="1" s="1"/>
  <c r="IC124" i="1" s="1"/>
  <c r="ID124" i="1" s="1"/>
  <c r="IE124" i="1" s="1"/>
  <c r="IF124" i="1" s="1"/>
  <c r="IG124" i="1" s="1"/>
  <c r="IH124" i="1" s="1"/>
  <c r="II124" i="1" s="1"/>
  <c r="IJ124" i="1" s="1"/>
  <c r="IK124" i="1" s="1"/>
  <c r="IL124" i="1" s="1"/>
  <c r="IM124" i="1" s="1"/>
  <c r="IN124" i="1" s="1"/>
  <c r="IO124" i="1" s="1"/>
  <c r="IP124" i="1" s="1"/>
  <c r="IQ124" i="1" s="1"/>
  <c r="IR124" i="1" s="1"/>
  <c r="IS124" i="1" s="1"/>
  <c r="IT124" i="1" s="1"/>
  <c r="IU124" i="1" s="1"/>
  <c r="IV124" i="1" s="1"/>
  <c r="IW124" i="1" s="1"/>
  <c r="IX124" i="1" s="1"/>
  <c r="IY124" i="1" s="1"/>
  <c r="IZ124" i="1" s="1"/>
  <c r="JA124" i="1" s="1"/>
  <c r="JB124" i="1" s="1"/>
  <c r="JC124" i="1" s="1"/>
  <c r="JD124" i="1" s="1"/>
  <c r="JE124" i="1" s="1"/>
  <c r="JF124" i="1" s="1"/>
  <c r="JG124" i="1" s="1"/>
  <c r="JH124" i="1" s="1"/>
  <c r="JI124" i="1" s="1"/>
  <c r="JJ124" i="1" s="1"/>
  <c r="JK124" i="1" s="1"/>
  <c r="JL124" i="1" s="1"/>
  <c r="JM124" i="1" s="1"/>
  <c r="JN124" i="1" s="1"/>
  <c r="JO124" i="1" s="1"/>
  <c r="JP124" i="1" s="1"/>
  <c r="JQ124" i="1" s="1"/>
  <c r="JR124" i="1" s="1"/>
  <c r="JS124" i="1" s="1"/>
  <c r="JT124" i="1" s="1"/>
  <c r="JU124" i="1" s="1"/>
  <c r="JV124" i="1" s="1"/>
  <c r="JW124" i="1" s="1"/>
  <c r="JX124" i="1" s="1"/>
  <c r="JY124" i="1" s="1"/>
  <c r="JZ124" i="1" s="1"/>
  <c r="KA124" i="1" s="1"/>
  <c r="KB124" i="1" s="1"/>
  <c r="KC124" i="1" s="1"/>
  <c r="KD124" i="1" s="1"/>
  <c r="KE124" i="1" s="1"/>
  <c r="KF124" i="1" s="1"/>
  <c r="KG124" i="1" s="1"/>
  <c r="KH124" i="1" s="1"/>
  <c r="KI124" i="1" s="1"/>
  <c r="KJ124" i="1" s="1"/>
  <c r="KK124" i="1" s="1"/>
  <c r="KL124" i="1" s="1"/>
  <c r="KM124" i="1" s="1"/>
  <c r="KN124" i="1" s="1"/>
  <c r="KO124" i="1" s="1"/>
  <c r="KP124" i="1" s="1"/>
  <c r="KQ124" i="1" s="1"/>
  <c r="KR124" i="1" s="1"/>
  <c r="KS124" i="1" s="1"/>
  <c r="KT124" i="1" s="1"/>
  <c r="KU124" i="1" s="1"/>
  <c r="KV124" i="1" s="1"/>
  <c r="KW124" i="1" s="1"/>
  <c r="KX124" i="1" s="1"/>
  <c r="KY124" i="1" s="1"/>
  <c r="KZ124" i="1" s="1"/>
  <c r="LA124" i="1" s="1"/>
  <c r="LB124" i="1" s="1"/>
  <c r="LC124" i="1" s="1"/>
  <c r="LD124" i="1" s="1"/>
  <c r="LE124" i="1" s="1"/>
  <c r="LF124" i="1" s="1"/>
  <c r="LG124" i="1" s="1"/>
  <c r="LH124" i="1" s="1"/>
  <c r="LI124" i="1" s="1"/>
  <c r="LJ124" i="1" s="1"/>
  <c r="LK124" i="1" s="1"/>
  <c r="LL124" i="1" s="1"/>
  <c r="LM124" i="1" s="1"/>
  <c r="LN124" i="1" s="1"/>
  <c r="LO124" i="1" s="1"/>
  <c r="LP124" i="1" s="1"/>
  <c r="LQ124" i="1" s="1"/>
  <c r="LR124" i="1" s="1"/>
  <c r="LS124" i="1" s="1"/>
  <c r="LT124" i="1" s="1"/>
  <c r="LU124" i="1" s="1"/>
  <c r="LV124" i="1" s="1"/>
  <c r="LW124" i="1" s="1"/>
  <c r="LX124" i="1" s="1"/>
  <c r="LY124" i="1" s="1"/>
  <c r="LZ124" i="1" s="1"/>
  <c r="MA124" i="1" s="1"/>
  <c r="MB124" i="1" s="1"/>
  <c r="MC124" i="1" s="1"/>
  <c r="MD124" i="1" s="1"/>
  <c r="ME124" i="1" s="1"/>
  <c r="MF124" i="1" s="1"/>
  <c r="MG124" i="1" s="1"/>
  <c r="MH124" i="1" s="1"/>
  <c r="MI124" i="1" s="1"/>
  <c r="MJ124" i="1" s="1"/>
  <c r="MK124" i="1" s="1"/>
  <c r="ML124" i="1" s="1"/>
  <c r="MM124" i="1" s="1"/>
  <c r="MN124" i="1" s="1"/>
  <c r="MO124" i="1" s="1"/>
  <c r="MP124" i="1" s="1"/>
  <c r="MQ124" i="1" s="1"/>
  <c r="MR124" i="1" s="1"/>
  <c r="MS124" i="1" s="1"/>
  <c r="MT124" i="1" s="1"/>
  <c r="MU124" i="1" s="1"/>
  <c r="MV124" i="1" s="1"/>
  <c r="MW124" i="1" s="1"/>
  <c r="MX124" i="1" s="1"/>
  <c r="C39" i="1"/>
  <c r="D39" i="1" s="1"/>
  <c r="E39" i="1" s="1"/>
  <c r="F39" i="1" s="1"/>
  <c r="G39" i="1" s="1"/>
  <c r="H39" i="1" s="1"/>
  <c r="I39" i="1" s="1"/>
  <c r="J39" i="1" s="1"/>
  <c r="K39" i="1" s="1"/>
  <c r="L39" i="1" s="1"/>
  <c r="M39" i="1" s="1"/>
  <c r="N39" i="1" s="1"/>
  <c r="O39" i="1" s="1"/>
  <c r="P39" i="1" s="1"/>
  <c r="Q39" i="1" s="1"/>
  <c r="R39" i="1" s="1"/>
  <c r="S39" i="1" s="1"/>
  <c r="T39" i="1" s="1"/>
  <c r="U39" i="1" s="1"/>
  <c r="V39" i="1" s="1"/>
  <c r="W39" i="1" s="1"/>
  <c r="X39" i="1" s="1"/>
  <c r="Y39" i="1" s="1"/>
  <c r="Z39" i="1" s="1"/>
  <c r="AA39" i="1" s="1"/>
  <c r="AB39" i="1" s="1"/>
  <c r="AC39" i="1" s="1"/>
  <c r="AD39" i="1" s="1"/>
  <c r="AE39" i="1" s="1"/>
  <c r="D125" i="1" l="1"/>
  <c r="E125" i="1" s="1"/>
  <c r="F125" i="1" s="1"/>
  <c r="G125" i="1" s="1"/>
  <c r="H125" i="1" s="1"/>
  <c r="I125" i="1" s="1"/>
  <c r="J125" i="1" s="1"/>
  <c r="K125" i="1" s="1"/>
  <c r="L125" i="1" s="1"/>
  <c r="M125" i="1" s="1"/>
  <c r="N125" i="1" s="1"/>
  <c r="O125" i="1" s="1"/>
  <c r="P125" i="1" s="1"/>
  <c r="Q125" i="1" s="1"/>
  <c r="R125" i="1" s="1"/>
  <c r="S125" i="1" s="1"/>
  <c r="T125" i="1" s="1"/>
  <c r="U125" i="1" s="1"/>
  <c r="V125" i="1" s="1"/>
  <c r="W125" i="1" s="1"/>
  <c r="X125" i="1" s="1"/>
  <c r="Y125" i="1" s="1"/>
  <c r="Z125" i="1" s="1"/>
  <c r="AA125" i="1" s="1"/>
  <c r="AB125" i="1" s="1"/>
  <c r="AC125" i="1" s="1"/>
  <c r="AD125" i="1" s="1"/>
  <c r="AE125" i="1" s="1"/>
  <c r="AF125" i="1" s="1"/>
  <c r="AG125" i="1" s="1"/>
  <c r="AH125" i="1" s="1"/>
  <c r="AI125" i="1" s="1"/>
  <c r="AJ125" i="1" s="1"/>
  <c r="AK125" i="1" s="1"/>
  <c r="AL125" i="1" s="1"/>
  <c r="AM125" i="1" s="1"/>
  <c r="AN125" i="1" s="1"/>
  <c r="AO125" i="1" s="1"/>
  <c r="AP125" i="1" s="1"/>
  <c r="AQ125" i="1" s="1"/>
  <c r="AR125" i="1" s="1"/>
  <c r="AS125" i="1" s="1"/>
  <c r="AT125" i="1" s="1"/>
  <c r="AU125" i="1" s="1"/>
  <c r="AV125" i="1" s="1"/>
  <c r="AW125" i="1" s="1"/>
  <c r="AX125" i="1" s="1"/>
  <c r="AY125" i="1" s="1"/>
  <c r="AZ125" i="1" s="1"/>
  <c r="BA125" i="1" s="1"/>
  <c r="BB125" i="1" s="1"/>
  <c r="BC125" i="1" s="1"/>
  <c r="BD125" i="1" s="1"/>
  <c r="BE125" i="1" s="1"/>
  <c r="BF125" i="1" s="1"/>
  <c r="BG125" i="1" s="1"/>
  <c r="BH125" i="1" s="1"/>
  <c r="BI125" i="1" s="1"/>
  <c r="BJ125" i="1" s="1"/>
  <c r="BK125" i="1" s="1"/>
  <c r="BL125" i="1" s="1"/>
  <c r="BM125" i="1" s="1"/>
  <c r="BN125" i="1" s="1"/>
  <c r="BO125" i="1" s="1"/>
  <c r="BP125" i="1" s="1"/>
  <c r="BQ125" i="1" s="1"/>
  <c r="BR125" i="1" s="1"/>
  <c r="BS125" i="1" s="1"/>
  <c r="BT125" i="1" s="1"/>
  <c r="BU125" i="1" s="1"/>
  <c r="BV125" i="1" s="1"/>
  <c r="BW125" i="1" s="1"/>
  <c r="BX125" i="1" s="1"/>
  <c r="BY125" i="1" s="1"/>
  <c r="BZ125" i="1" s="1"/>
  <c r="CA125" i="1" s="1"/>
  <c r="CB125" i="1" s="1"/>
  <c r="CC125" i="1" s="1"/>
  <c r="CD125" i="1" s="1"/>
  <c r="CE125" i="1" s="1"/>
  <c r="CF125" i="1" s="1"/>
  <c r="CG125" i="1" s="1"/>
  <c r="CH125" i="1" s="1"/>
  <c r="CI125" i="1" s="1"/>
  <c r="CJ125" i="1" s="1"/>
  <c r="CK125" i="1" s="1"/>
  <c r="CL125" i="1" s="1"/>
  <c r="CM125" i="1" s="1"/>
  <c r="CN125" i="1" s="1"/>
  <c r="CO125" i="1" s="1"/>
  <c r="CP125" i="1" s="1"/>
  <c r="CQ125" i="1" s="1"/>
  <c r="CR125" i="1" s="1"/>
  <c r="CS125" i="1" s="1"/>
  <c r="CT125" i="1" s="1"/>
  <c r="CU125" i="1" s="1"/>
  <c r="CV125" i="1" s="1"/>
  <c r="CW125" i="1" s="1"/>
  <c r="CX125" i="1" s="1"/>
  <c r="CY125" i="1" s="1"/>
  <c r="CZ125" i="1" s="1"/>
  <c r="DA125" i="1" s="1"/>
  <c r="DB125" i="1" s="1"/>
  <c r="DC125" i="1" s="1"/>
  <c r="DD125" i="1" s="1"/>
  <c r="DE125" i="1" s="1"/>
  <c r="DF125" i="1" s="1"/>
  <c r="DG125" i="1" s="1"/>
  <c r="DH125" i="1" s="1"/>
  <c r="DI125" i="1" s="1"/>
  <c r="DJ125" i="1" s="1"/>
  <c r="DK125" i="1" s="1"/>
  <c r="DL125" i="1" s="1"/>
  <c r="DM125" i="1" s="1"/>
  <c r="DN125" i="1" s="1"/>
  <c r="DO125" i="1" s="1"/>
  <c r="DP125" i="1" s="1"/>
  <c r="DQ125" i="1" s="1"/>
  <c r="DR125" i="1" s="1"/>
  <c r="DS125" i="1" s="1"/>
  <c r="DT125" i="1" s="1"/>
  <c r="DU125" i="1" s="1"/>
  <c r="DV125" i="1" s="1"/>
  <c r="DW125" i="1" s="1"/>
  <c r="DX125" i="1" s="1"/>
  <c r="DY125" i="1" s="1"/>
  <c r="DZ125" i="1" s="1"/>
  <c r="EA125" i="1" s="1"/>
  <c r="EB125" i="1" s="1"/>
  <c r="EC125" i="1" s="1"/>
  <c r="ED125" i="1" s="1"/>
  <c r="EE125" i="1" s="1"/>
  <c r="EF125" i="1" s="1"/>
  <c r="EG125" i="1" s="1"/>
  <c r="EH125" i="1" s="1"/>
  <c r="EI125" i="1" s="1"/>
  <c r="EJ125" i="1" s="1"/>
  <c r="EK125" i="1" s="1"/>
  <c r="EL125" i="1" s="1"/>
  <c r="EM125" i="1" s="1"/>
  <c r="EN125" i="1" s="1"/>
  <c r="EO125" i="1" s="1"/>
  <c r="EP125" i="1" s="1"/>
  <c r="EQ125" i="1" s="1"/>
  <c r="ER125" i="1" s="1"/>
  <c r="ES125" i="1" s="1"/>
  <c r="ET125" i="1" s="1"/>
  <c r="EU125" i="1" s="1"/>
  <c r="EV125" i="1" s="1"/>
  <c r="EW125" i="1" s="1"/>
  <c r="EX125" i="1" s="1"/>
  <c r="EY125" i="1" s="1"/>
  <c r="EZ125" i="1" s="1"/>
  <c r="FA125" i="1" s="1"/>
  <c r="FB125" i="1" s="1"/>
  <c r="FC125" i="1" s="1"/>
  <c r="FD125" i="1" s="1"/>
  <c r="FE125" i="1" s="1"/>
  <c r="FF125" i="1" s="1"/>
  <c r="FG125" i="1" s="1"/>
  <c r="FH125" i="1" s="1"/>
  <c r="FI125" i="1" s="1"/>
  <c r="FJ125" i="1" s="1"/>
  <c r="FK125" i="1" s="1"/>
  <c r="FL125" i="1" s="1"/>
  <c r="FM125" i="1" s="1"/>
  <c r="FN125" i="1" s="1"/>
  <c r="FO125" i="1" s="1"/>
  <c r="FP125" i="1" s="1"/>
  <c r="FQ125" i="1" s="1"/>
  <c r="FR125" i="1" s="1"/>
  <c r="FS125" i="1" s="1"/>
  <c r="FT125" i="1" s="1"/>
  <c r="FU125" i="1" s="1"/>
  <c r="FV125" i="1" s="1"/>
  <c r="FW125" i="1" s="1"/>
  <c r="FX125" i="1" s="1"/>
  <c r="FY125" i="1" s="1"/>
  <c r="FZ125" i="1" s="1"/>
  <c r="GA125" i="1" s="1"/>
  <c r="GB125" i="1" s="1"/>
  <c r="GC125" i="1" s="1"/>
  <c r="GD125" i="1" s="1"/>
  <c r="GE125" i="1" s="1"/>
  <c r="GF125" i="1" s="1"/>
  <c r="GG125" i="1" s="1"/>
  <c r="GH125" i="1" s="1"/>
  <c r="GI125" i="1" s="1"/>
  <c r="GJ125" i="1" s="1"/>
  <c r="GK125" i="1" s="1"/>
  <c r="GL125" i="1" s="1"/>
  <c r="GM125" i="1" s="1"/>
  <c r="GN125" i="1" s="1"/>
  <c r="GO125" i="1" s="1"/>
  <c r="GP125" i="1" s="1"/>
  <c r="GQ125" i="1" s="1"/>
  <c r="GR125" i="1" s="1"/>
  <c r="GS125" i="1" s="1"/>
  <c r="GT125" i="1" s="1"/>
  <c r="GU125" i="1" s="1"/>
  <c r="GV125" i="1" s="1"/>
  <c r="GW125" i="1" s="1"/>
  <c r="GX125" i="1" s="1"/>
  <c r="GY125" i="1" s="1"/>
  <c r="GZ125" i="1" s="1"/>
  <c r="HA125" i="1" s="1"/>
  <c r="HB125" i="1" s="1"/>
  <c r="HC125" i="1" s="1"/>
  <c r="HD125" i="1" s="1"/>
  <c r="HE125" i="1" s="1"/>
  <c r="HF125" i="1" s="1"/>
  <c r="HG125" i="1" s="1"/>
  <c r="HH125" i="1" s="1"/>
  <c r="HI125" i="1" s="1"/>
  <c r="HJ125" i="1" s="1"/>
  <c r="HK125" i="1" s="1"/>
  <c r="HL125" i="1" s="1"/>
  <c r="HM125" i="1" s="1"/>
  <c r="HN125" i="1" s="1"/>
  <c r="HO125" i="1" s="1"/>
  <c r="HP125" i="1" s="1"/>
  <c r="HQ125" i="1" s="1"/>
  <c r="HR125" i="1" s="1"/>
  <c r="HS125" i="1" s="1"/>
  <c r="HT125" i="1" s="1"/>
  <c r="HU125" i="1" s="1"/>
  <c r="HV125" i="1" s="1"/>
  <c r="HW125" i="1" s="1"/>
  <c r="HX125" i="1" s="1"/>
  <c r="HY125" i="1" s="1"/>
  <c r="HZ125" i="1" s="1"/>
  <c r="IA125" i="1" s="1"/>
  <c r="IB125" i="1" s="1"/>
  <c r="IC125" i="1" s="1"/>
  <c r="ID125" i="1" s="1"/>
  <c r="IE125" i="1" s="1"/>
  <c r="IF125" i="1" s="1"/>
  <c r="IG125" i="1" s="1"/>
  <c r="IH125" i="1" s="1"/>
  <c r="II125" i="1" s="1"/>
  <c r="IJ125" i="1" s="1"/>
  <c r="IK125" i="1" s="1"/>
  <c r="IL125" i="1" s="1"/>
  <c r="IM125" i="1" s="1"/>
  <c r="IN125" i="1" s="1"/>
  <c r="IO125" i="1" s="1"/>
  <c r="IP125" i="1" s="1"/>
  <c r="IQ125" i="1" s="1"/>
  <c r="IR125" i="1" s="1"/>
  <c r="IS125" i="1" s="1"/>
  <c r="IT125" i="1" s="1"/>
  <c r="IU125" i="1" s="1"/>
  <c r="IV125" i="1" s="1"/>
  <c r="IW125" i="1" s="1"/>
  <c r="IX125" i="1" s="1"/>
  <c r="IY125" i="1" s="1"/>
  <c r="IZ125" i="1" s="1"/>
  <c r="JA125" i="1" s="1"/>
  <c r="JB125" i="1" s="1"/>
  <c r="JC125" i="1" s="1"/>
  <c r="JD125" i="1" s="1"/>
  <c r="JE125" i="1" s="1"/>
  <c r="JF125" i="1" s="1"/>
  <c r="JG125" i="1" s="1"/>
  <c r="JH125" i="1" s="1"/>
  <c r="JI125" i="1" s="1"/>
  <c r="JJ125" i="1" s="1"/>
  <c r="JK125" i="1" s="1"/>
  <c r="JL125" i="1" s="1"/>
  <c r="JM125" i="1" s="1"/>
  <c r="JN125" i="1" s="1"/>
  <c r="JO125" i="1" s="1"/>
  <c r="JP125" i="1" s="1"/>
  <c r="JQ125" i="1" s="1"/>
  <c r="JR125" i="1" s="1"/>
  <c r="JS125" i="1" s="1"/>
  <c r="JT125" i="1" s="1"/>
  <c r="JU125" i="1" s="1"/>
  <c r="JV125" i="1" s="1"/>
  <c r="JW125" i="1" s="1"/>
  <c r="JX125" i="1" s="1"/>
  <c r="JY125" i="1" s="1"/>
  <c r="JZ125" i="1" s="1"/>
  <c r="KA125" i="1" s="1"/>
  <c r="KB125" i="1" s="1"/>
  <c r="KC125" i="1" s="1"/>
  <c r="KD125" i="1" s="1"/>
  <c r="KE125" i="1" s="1"/>
  <c r="KF125" i="1" s="1"/>
  <c r="KG125" i="1" s="1"/>
  <c r="KH125" i="1" s="1"/>
  <c r="KI125" i="1" s="1"/>
  <c r="KJ125" i="1" s="1"/>
  <c r="KK125" i="1" s="1"/>
  <c r="KL125" i="1" s="1"/>
  <c r="KM125" i="1" s="1"/>
  <c r="KN125" i="1" s="1"/>
  <c r="KO125" i="1" s="1"/>
  <c r="KP125" i="1" s="1"/>
  <c r="KQ125" i="1" s="1"/>
  <c r="KR125" i="1" s="1"/>
  <c r="KS125" i="1" s="1"/>
  <c r="KT125" i="1" s="1"/>
  <c r="KU125" i="1" s="1"/>
  <c r="KV125" i="1" s="1"/>
  <c r="KW125" i="1" s="1"/>
  <c r="KX125" i="1" s="1"/>
  <c r="KY125" i="1" s="1"/>
  <c r="KZ125" i="1" s="1"/>
  <c r="LA125" i="1" s="1"/>
  <c r="LB125" i="1" s="1"/>
  <c r="LC125" i="1" s="1"/>
  <c r="LD125" i="1" s="1"/>
  <c r="LE125" i="1" s="1"/>
  <c r="LF125" i="1" s="1"/>
  <c r="LG125" i="1" s="1"/>
  <c r="LH125" i="1" s="1"/>
  <c r="LI125" i="1" s="1"/>
  <c r="LJ125" i="1" s="1"/>
  <c r="LK125" i="1" s="1"/>
  <c r="LL125" i="1" s="1"/>
  <c r="LM125" i="1" s="1"/>
  <c r="LN125" i="1" s="1"/>
  <c r="LO125" i="1" s="1"/>
  <c r="LP125" i="1" s="1"/>
  <c r="LQ125" i="1" s="1"/>
  <c r="LR125" i="1" s="1"/>
  <c r="LS125" i="1" s="1"/>
  <c r="LT125" i="1" s="1"/>
  <c r="LU125" i="1" s="1"/>
  <c r="LV125" i="1" s="1"/>
  <c r="LW125" i="1" s="1"/>
  <c r="LX125" i="1" s="1"/>
  <c r="LY125" i="1" s="1"/>
  <c r="LZ125" i="1" s="1"/>
  <c r="MA125" i="1" s="1"/>
  <c r="MB125" i="1" s="1"/>
  <c r="MC125" i="1" s="1"/>
  <c r="MD125" i="1" s="1"/>
  <c r="ME125" i="1" s="1"/>
  <c r="MF125" i="1" s="1"/>
  <c r="MG125" i="1" s="1"/>
  <c r="MH125" i="1" s="1"/>
  <c r="MI125" i="1" s="1"/>
  <c r="MJ125" i="1" s="1"/>
  <c r="MK125" i="1" s="1"/>
  <c r="ML125" i="1" s="1"/>
  <c r="MM125" i="1" s="1"/>
  <c r="MN125" i="1" s="1"/>
  <c r="MO125" i="1" s="1"/>
  <c r="MP125" i="1" s="1"/>
  <c r="MQ125" i="1" s="1"/>
  <c r="MR125" i="1" s="1"/>
  <c r="MS125" i="1" s="1"/>
  <c r="MT125" i="1" s="1"/>
  <c r="MU125" i="1" s="1"/>
  <c r="MV125" i="1" s="1"/>
  <c r="MW125" i="1" s="1"/>
  <c r="MX125" i="1" s="1"/>
  <c r="B61" i="1"/>
  <c r="B84" i="1"/>
  <c r="B134" i="1" l="1"/>
  <c r="B119" i="1"/>
  <c r="B121" i="1"/>
  <c r="C121" i="1" s="1"/>
  <c r="C127" i="1" s="1"/>
  <c r="II108" i="1"/>
  <c r="IJ108" i="1"/>
  <c r="IK108" i="1"/>
  <c r="IL108" i="1"/>
  <c r="IM108" i="1"/>
  <c r="IN108" i="1"/>
  <c r="IO108" i="1"/>
  <c r="IP108" i="1"/>
  <c r="IQ108" i="1"/>
  <c r="IR108" i="1"/>
  <c r="IS108" i="1"/>
  <c r="IT108" i="1"/>
  <c r="IU108" i="1"/>
  <c r="IV108" i="1"/>
  <c r="IW108" i="1"/>
  <c r="IX108" i="1"/>
  <c r="IY108" i="1"/>
  <c r="IZ108" i="1"/>
  <c r="JA108" i="1"/>
  <c r="JB108" i="1"/>
  <c r="JC108" i="1"/>
  <c r="JD108" i="1"/>
  <c r="JE108" i="1"/>
  <c r="JF108" i="1"/>
  <c r="JG108" i="1"/>
  <c r="JH108" i="1"/>
  <c r="JI108" i="1"/>
  <c r="JJ108" i="1"/>
  <c r="JK108" i="1"/>
  <c r="JL108" i="1"/>
  <c r="JM108" i="1"/>
  <c r="JN108" i="1"/>
  <c r="JO108" i="1"/>
  <c r="JP108" i="1"/>
  <c r="JQ108" i="1"/>
  <c r="JR108" i="1"/>
  <c r="JS108" i="1"/>
  <c r="JT108" i="1"/>
  <c r="JU108" i="1"/>
  <c r="JV108" i="1"/>
  <c r="JW108" i="1"/>
  <c r="JX108" i="1"/>
  <c r="JY108" i="1"/>
  <c r="JZ108" i="1"/>
  <c r="KA108" i="1"/>
  <c r="KB108" i="1"/>
  <c r="KC108" i="1"/>
  <c r="KD108" i="1"/>
  <c r="KE108" i="1"/>
  <c r="KF108" i="1"/>
  <c r="KG108" i="1"/>
  <c r="KH108" i="1"/>
  <c r="KI108" i="1"/>
  <c r="KJ108" i="1"/>
  <c r="KK108" i="1"/>
  <c r="KL108" i="1"/>
  <c r="KM108" i="1"/>
  <c r="KN108" i="1"/>
  <c r="KO108" i="1"/>
  <c r="KP108" i="1"/>
  <c r="KQ108" i="1"/>
  <c r="KR108" i="1"/>
  <c r="KS108" i="1"/>
  <c r="KT108" i="1"/>
  <c r="KU108" i="1"/>
  <c r="KV108" i="1"/>
  <c r="KW108" i="1"/>
  <c r="KX108" i="1"/>
  <c r="KY108" i="1"/>
  <c r="KZ108" i="1"/>
  <c r="LA108" i="1"/>
  <c r="LB108" i="1"/>
  <c r="LC108" i="1"/>
  <c r="LD108" i="1"/>
  <c r="LE108" i="1"/>
  <c r="LF108" i="1"/>
  <c r="LG108" i="1"/>
  <c r="LH108" i="1"/>
  <c r="LI108" i="1"/>
  <c r="LJ108" i="1"/>
  <c r="LK108" i="1"/>
  <c r="LL108" i="1"/>
  <c r="LM108" i="1"/>
  <c r="LN108" i="1"/>
  <c r="LO108" i="1"/>
  <c r="LP108" i="1"/>
  <c r="LQ108" i="1"/>
  <c r="LR108" i="1"/>
  <c r="LS108" i="1"/>
  <c r="LT108" i="1"/>
  <c r="LU108" i="1"/>
  <c r="LV108" i="1"/>
  <c r="LW108" i="1"/>
  <c r="LX108" i="1"/>
  <c r="LY108" i="1"/>
  <c r="LZ108" i="1"/>
  <c r="MA108" i="1"/>
  <c r="MB108" i="1"/>
  <c r="MC108" i="1"/>
  <c r="MD108" i="1"/>
  <c r="ME108" i="1"/>
  <c r="MF108" i="1"/>
  <c r="MG108" i="1"/>
  <c r="MH108" i="1"/>
  <c r="MI108" i="1"/>
  <c r="MJ108" i="1"/>
  <c r="MK108" i="1"/>
  <c r="ML108" i="1"/>
  <c r="MM108" i="1"/>
  <c r="MN108" i="1"/>
  <c r="MO108" i="1"/>
  <c r="MP108" i="1"/>
  <c r="MQ108" i="1"/>
  <c r="MR108" i="1"/>
  <c r="MS108" i="1"/>
  <c r="MT108" i="1"/>
  <c r="MU108" i="1"/>
  <c r="MV108" i="1"/>
  <c r="MW108" i="1"/>
  <c r="MX108" i="1"/>
  <c r="MY108" i="1"/>
  <c r="MZ108" i="1"/>
  <c r="NA108" i="1"/>
  <c r="NB108" i="1"/>
  <c r="NC108" i="1"/>
  <c r="ND108" i="1"/>
  <c r="NE108" i="1"/>
  <c r="NF108" i="1"/>
  <c r="NG108" i="1"/>
  <c r="NH108" i="1"/>
  <c r="NI108" i="1"/>
  <c r="NJ108" i="1"/>
  <c r="NK108" i="1"/>
  <c r="NL108" i="1"/>
  <c r="NM108" i="1"/>
  <c r="NN108" i="1"/>
  <c r="NO108" i="1"/>
  <c r="NP108" i="1"/>
  <c r="NQ108" i="1"/>
  <c r="NR108" i="1"/>
  <c r="NS108" i="1"/>
  <c r="NT108" i="1"/>
  <c r="NU108" i="1"/>
  <c r="NV108" i="1"/>
  <c r="NW108" i="1"/>
  <c r="NX108" i="1"/>
  <c r="NY108" i="1"/>
  <c r="NZ108" i="1"/>
  <c r="OA108" i="1"/>
  <c r="OB108" i="1"/>
  <c r="OC108" i="1"/>
  <c r="OD108" i="1"/>
  <c r="OE108" i="1"/>
  <c r="OF108" i="1"/>
  <c r="OG108" i="1"/>
  <c r="OH108" i="1"/>
  <c r="OI108" i="1"/>
  <c r="OJ108" i="1"/>
  <c r="OK108" i="1"/>
  <c r="OL108" i="1"/>
  <c r="OM108" i="1"/>
  <c r="ON108" i="1"/>
  <c r="OO108" i="1"/>
  <c r="OP108" i="1"/>
  <c r="OQ108" i="1"/>
  <c r="OR108" i="1"/>
  <c r="OS108" i="1"/>
  <c r="OT108" i="1"/>
  <c r="OU108" i="1"/>
  <c r="OV108" i="1"/>
  <c r="OW108" i="1"/>
  <c r="OX108" i="1"/>
  <c r="OY108" i="1"/>
  <c r="OZ108" i="1"/>
  <c r="PA108" i="1"/>
  <c r="PB108" i="1"/>
  <c r="PC108" i="1"/>
  <c r="PD108" i="1"/>
  <c r="PE108" i="1"/>
  <c r="PF108" i="1"/>
  <c r="II109" i="1"/>
  <c r="IJ109" i="1"/>
  <c r="IK109" i="1"/>
  <c r="IL109" i="1"/>
  <c r="IM109" i="1"/>
  <c r="IN109" i="1"/>
  <c r="IO109" i="1"/>
  <c r="IP109" i="1"/>
  <c r="IQ109" i="1"/>
  <c r="IR109" i="1"/>
  <c r="IS109" i="1"/>
  <c r="IT109" i="1"/>
  <c r="IU109" i="1"/>
  <c r="IV109" i="1"/>
  <c r="IW109" i="1"/>
  <c r="IX109" i="1"/>
  <c r="IY109" i="1"/>
  <c r="IZ109" i="1"/>
  <c r="JA109" i="1"/>
  <c r="JB109" i="1"/>
  <c r="JC109" i="1"/>
  <c r="JD109" i="1"/>
  <c r="JE109" i="1"/>
  <c r="JF109" i="1"/>
  <c r="JG109" i="1"/>
  <c r="JH109" i="1"/>
  <c r="JI109" i="1"/>
  <c r="JJ109" i="1"/>
  <c r="JK109" i="1"/>
  <c r="JL109" i="1"/>
  <c r="JM109" i="1"/>
  <c r="JN109" i="1"/>
  <c r="JO109" i="1"/>
  <c r="JP109" i="1"/>
  <c r="JQ109" i="1"/>
  <c r="JR109" i="1"/>
  <c r="JS109" i="1"/>
  <c r="JT109" i="1"/>
  <c r="JU109" i="1"/>
  <c r="JV109" i="1"/>
  <c r="JW109" i="1"/>
  <c r="JX109" i="1"/>
  <c r="JY109" i="1"/>
  <c r="JZ109" i="1"/>
  <c r="KA109" i="1"/>
  <c r="KB109" i="1"/>
  <c r="KC109" i="1"/>
  <c r="KD109" i="1"/>
  <c r="KE109" i="1"/>
  <c r="KF109" i="1"/>
  <c r="KG109" i="1"/>
  <c r="KH109" i="1"/>
  <c r="KI109" i="1"/>
  <c r="KJ109" i="1"/>
  <c r="KK109" i="1"/>
  <c r="KL109" i="1"/>
  <c r="KM109" i="1"/>
  <c r="KN109" i="1"/>
  <c r="KO109" i="1"/>
  <c r="KP109" i="1"/>
  <c r="KQ109" i="1"/>
  <c r="KR109" i="1"/>
  <c r="KS109" i="1"/>
  <c r="KT109" i="1"/>
  <c r="KU109" i="1"/>
  <c r="KV109" i="1"/>
  <c r="KW109" i="1"/>
  <c r="KX109" i="1"/>
  <c r="KY109" i="1"/>
  <c r="KZ109" i="1"/>
  <c r="LA109" i="1"/>
  <c r="LB109" i="1"/>
  <c r="LC109" i="1"/>
  <c r="LD109" i="1"/>
  <c r="LE109" i="1"/>
  <c r="LF109" i="1"/>
  <c r="LG109" i="1"/>
  <c r="LH109" i="1"/>
  <c r="LI109" i="1"/>
  <c r="LJ109" i="1"/>
  <c r="LK109" i="1"/>
  <c r="LL109" i="1"/>
  <c r="LM109" i="1"/>
  <c r="LN109" i="1"/>
  <c r="LO109" i="1"/>
  <c r="LP109" i="1"/>
  <c r="LQ109" i="1"/>
  <c r="LR109" i="1"/>
  <c r="LS109" i="1"/>
  <c r="LT109" i="1"/>
  <c r="LU109" i="1"/>
  <c r="LV109" i="1"/>
  <c r="LW109" i="1"/>
  <c r="LX109" i="1"/>
  <c r="LY109" i="1"/>
  <c r="LZ109" i="1"/>
  <c r="MA109" i="1"/>
  <c r="MB109" i="1"/>
  <c r="MC109" i="1"/>
  <c r="MD109" i="1"/>
  <c r="ME109" i="1"/>
  <c r="MF109" i="1"/>
  <c r="MG109" i="1"/>
  <c r="MH109" i="1"/>
  <c r="MI109" i="1"/>
  <c r="MJ109" i="1"/>
  <c r="MK109" i="1"/>
  <c r="ML109" i="1"/>
  <c r="MM109" i="1"/>
  <c r="MN109" i="1"/>
  <c r="MO109" i="1"/>
  <c r="MP109" i="1"/>
  <c r="MQ109" i="1"/>
  <c r="MR109" i="1"/>
  <c r="MS109" i="1"/>
  <c r="MT109" i="1"/>
  <c r="MU109" i="1"/>
  <c r="MV109" i="1"/>
  <c r="MW109" i="1"/>
  <c r="MX109" i="1"/>
  <c r="MY109" i="1"/>
  <c r="MZ109" i="1"/>
  <c r="NA109" i="1"/>
  <c r="NB109" i="1"/>
  <c r="NC109" i="1"/>
  <c r="ND109" i="1"/>
  <c r="NE109" i="1"/>
  <c r="NF109" i="1"/>
  <c r="NG109" i="1"/>
  <c r="NH109" i="1"/>
  <c r="NI109" i="1"/>
  <c r="NJ109" i="1"/>
  <c r="NK109" i="1"/>
  <c r="NL109" i="1"/>
  <c r="NM109" i="1"/>
  <c r="NN109" i="1"/>
  <c r="NO109" i="1"/>
  <c r="NP109" i="1"/>
  <c r="NQ109" i="1"/>
  <c r="NR109" i="1"/>
  <c r="NS109" i="1"/>
  <c r="NT109" i="1"/>
  <c r="NU109" i="1"/>
  <c r="NV109" i="1"/>
  <c r="NW109" i="1"/>
  <c r="NX109" i="1"/>
  <c r="NY109" i="1"/>
  <c r="NZ109" i="1"/>
  <c r="OA109" i="1"/>
  <c r="OB109" i="1"/>
  <c r="OC109" i="1"/>
  <c r="OD109" i="1"/>
  <c r="OE109" i="1"/>
  <c r="OF109" i="1"/>
  <c r="OG109" i="1"/>
  <c r="OH109" i="1"/>
  <c r="OI109" i="1"/>
  <c r="OJ109" i="1"/>
  <c r="OK109" i="1"/>
  <c r="OL109" i="1"/>
  <c r="OM109" i="1"/>
  <c r="ON109" i="1"/>
  <c r="OO109" i="1"/>
  <c r="OP109" i="1"/>
  <c r="OQ109" i="1"/>
  <c r="OR109" i="1"/>
  <c r="OS109" i="1"/>
  <c r="OT109" i="1"/>
  <c r="OU109" i="1"/>
  <c r="OV109" i="1"/>
  <c r="OW109" i="1"/>
  <c r="OX109" i="1"/>
  <c r="OY109" i="1"/>
  <c r="OZ109" i="1"/>
  <c r="PA109" i="1"/>
  <c r="PB109" i="1"/>
  <c r="PC109" i="1"/>
  <c r="PD109" i="1"/>
  <c r="PE109" i="1"/>
  <c r="PF109" i="1"/>
  <c r="D121" i="1" l="1"/>
  <c r="C131" i="1"/>
  <c r="B111" i="1"/>
  <c r="C111" i="1" s="1"/>
  <c r="D111" i="1" s="1"/>
  <c r="E111" i="1" s="1"/>
  <c r="F111" i="1" s="1"/>
  <c r="G111" i="1" s="1"/>
  <c r="H111" i="1" s="1"/>
  <c r="I111" i="1" s="1"/>
  <c r="J111" i="1" s="1"/>
  <c r="K111" i="1" s="1"/>
  <c r="L111" i="1" s="1"/>
  <c r="M111" i="1" s="1"/>
  <c r="N111" i="1" s="1"/>
  <c r="O111" i="1" s="1"/>
  <c r="P111" i="1" s="1"/>
  <c r="Q111" i="1" s="1"/>
  <c r="R111" i="1" s="1"/>
  <c r="S111" i="1" s="1"/>
  <c r="T111" i="1" s="1"/>
  <c r="U111" i="1" s="1"/>
  <c r="V111" i="1" s="1"/>
  <c r="W111" i="1" s="1"/>
  <c r="X111" i="1" s="1"/>
  <c r="Y111" i="1" s="1"/>
  <c r="Z111" i="1" s="1"/>
  <c r="AA111" i="1" s="1"/>
  <c r="AB111" i="1" s="1"/>
  <c r="AC111" i="1" s="1"/>
  <c r="AD111" i="1" s="1"/>
  <c r="AE111" i="1" s="1"/>
  <c r="AF111" i="1" s="1"/>
  <c r="AG111" i="1" s="1"/>
  <c r="AH111" i="1" s="1"/>
  <c r="AI111" i="1" s="1"/>
  <c r="AJ111" i="1" s="1"/>
  <c r="AK111" i="1" s="1"/>
  <c r="AL111" i="1" s="1"/>
  <c r="AM111" i="1" s="1"/>
  <c r="AN111" i="1" s="1"/>
  <c r="AO111" i="1" s="1"/>
  <c r="AP111" i="1" s="1"/>
  <c r="AQ111" i="1" s="1"/>
  <c r="AR111" i="1" s="1"/>
  <c r="AS111" i="1" s="1"/>
  <c r="AT111" i="1" s="1"/>
  <c r="AU111" i="1" s="1"/>
  <c r="AV111" i="1" s="1"/>
  <c r="AW111" i="1" s="1"/>
  <c r="AX111" i="1" s="1"/>
  <c r="AY111" i="1" s="1"/>
  <c r="AZ111" i="1" s="1"/>
  <c r="BA111" i="1" s="1"/>
  <c r="BB111" i="1" s="1"/>
  <c r="BC111" i="1" s="1"/>
  <c r="BD111" i="1" s="1"/>
  <c r="BE111" i="1" s="1"/>
  <c r="BF111" i="1" s="1"/>
  <c r="BG111" i="1" s="1"/>
  <c r="BH111" i="1" s="1"/>
  <c r="BI111" i="1" s="1"/>
  <c r="BJ111" i="1" s="1"/>
  <c r="BK111" i="1" s="1"/>
  <c r="BL111" i="1" s="1"/>
  <c r="BM111" i="1" s="1"/>
  <c r="BN111" i="1" s="1"/>
  <c r="BO111" i="1" s="1"/>
  <c r="BP111" i="1" s="1"/>
  <c r="BQ111" i="1" s="1"/>
  <c r="BR111" i="1" s="1"/>
  <c r="BS111" i="1" s="1"/>
  <c r="BT111" i="1" s="1"/>
  <c r="BU111" i="1" s="1"/>
  <c r="BV111" i="1" s="1"/>
  <c r="BW111" i="1" s="1"/>
  <c r="BX111" i="1" s="1"/>
  <c r="BY111" i="1" s="1"/>
  <c r="BZ111" i="1" s="1"/>
  <c r="CA111" i="1" s="1"/>
  <c r="CB111" i="1" s="1"/>
  <c r="CC111" i="1" s="1"/>
  <c r="CD111" i="1" s="1"/>
  <c r="CE111" i="1" s="1"/>
  <c r="CF111" i="1" s="1"/>
  <c r="CG111" i="1" s="1"/>
  <c r="CH111" i="1" s="1"/>
  <c r="CI111" i="1" s="1"/>
  <c r="CJ111" i="1" s="1"/>
  <c r="CK111" i="1" s="1"/>
  <c r="CL111" i="1" s="1"/>
  <c r="CM111" i="1" s="1"/>
  <c r="CN111" i="1" s="1"/>
  <c r="CO111" i="1" s="1"/>
  <c r="CP111" i="1" s="1"/>
  <c r="CQ111" i="1" s="1"/>
  <c r="CR111" i="1" s="1"/>
  <c r="CS111" i="1" s="1"/>
  <c r="CT111" i="1" s="1"/>
  <c r="CU111" i="1" s="1"/>
  <c r="CV111" i="1" s="1"/>
  <c r="CW111" i="1" s="1"/>
  <c r="CX111" i="1" s="1"/>
  <c r="CY111" i="1" s="1"/>
  <c r="CZ111" i="1" s="1"/>
  <c r="DA111" i="1" s="1"/>
  <c r="DB111" i="1" s="1"/>
  <c r="DC111" i="1" s="1"/>
  <c r="DD111" i="1" s="1"/>
  <c r="DE111" i="1" s="1"/>
  <c r="DF111" i="1" s="1"/>
  <c r="DG111" i="1" s="1"/>
  <c r="DH111" i="1" s="1"/>
  <c r="DI111" i="1" s="1"/>
  <c r="DJ111" i="1" s="1"/>
  <c r="DK111" i="1" s="1"/>
  <c r="DL111" i="1" s="1"/>
  <c r="DM111" i="1" s="1"/>
  <c r="DN111" i="1" s="1"/>
  <c r="DO111" i="1" s="1"/>
  <c r="DP111" i="1" s="1"/>
  <c r="DQ111" i="1" s="1"/>
  <c r="DR111" i="1" s="1"/>
  <c r="DS111" i="1" s="1"/>
  <c r="DT111" i="1" s="1"/>
  <c r="DU111" i="1" s="1"/>
  <c r="DV111" i="1" s="1"/>
  <c r="DW111" i="1" s="1"/>
  <c r="DX111" i="1" s="1"/>
  <c r="DY111" i="1" s="1"/>
  <c r="DZ111" i="1" s="1"/>
  <c r="EA111" i="1" s="1"/>
  <c r="EB111" i="1" s="1"/>
  <c r="EC111" i="1" s="1"/>
  <c r="ED111" i="1" s="1"/>
  <c r="EE111" i="1" s="1"/>
  <c r="EF111" i="1" s="1"/>
  <c r="EG111" i="1" s="1"/>
  <c r="EH111" i="1" s="1"/>
  <c r="EI111" i="1" s="1"/>
  <c r="EJ111" i="1" s="1"/>
  <c r="EK111" i="1" s="1"/>
  <c r="EL111" i="1" s="1"/>
  <c r="EM111" i="1" s="1"/>
  <c r="EN111" i="1" s="1"/>
  <c r="EO111" i="1" s="1"/>
  <c r="EP111" i="1" s="1"/>
  <c r="EQ111" i="1" s="1"/>
  <c r="ER111" i="1" s="1"/>
  <c r="ES111" i="1" s="1"/>
  <c r="ET111" i="1" s="1"/>
  <c r="EU111" i="1" s="1"/>
  <c r="EV111" i="1" s="1"/>
  <c r="EW111" i="1" s="1"/>
  <c r="EX111" i="1" s="1"/>
  <c r="EY111" i="1" s="1"/>
  <c r="EZ111" i="1" s="1"/>
  <c r="FA111" i="1" s="1"/>
  <c r="FB111" i="1" s="1"/>
  <c r="FC111" i="1" s="1"/>
  <c r="FD111" i="1" s="1"/>
  <c r="FE111" i="1" s="1"/>
  <c r="FF111" i="1" s="1"/>
  <c r="FG111" i="1" s="1"/>
  <c r="FH111" i="1" s="1"/>
  <c r="FI111" i="1" s="1"/>
  <c r="FJ111" i="1" s="1"/>
  <c r="FK111" i="1" s="1"/>
  <c r="FL111" i="1" s="1"/>
  <c r="FM111" i="1" s="1"/>
  <c r="FN111" i="1" s="1"/>
  <c r="FO111" i="1" s="1"/>
  <c r="FP111" i="1" s="1"/>
  <c r="FQ111" i="1" s="1"/>
  <c r="FR111" i="1" s="1"/>
  <c r="FS111" i="1" s="1"/>
  <c r="FT111" i="1" s="1"/>
  <c r="FU111" i="1" s="1"/>
  <c r="FV111" i="1" s="1"/>
  <c r="FW111" i="1" s="1"/>
  <c r="FX111" i="1" s="1"/>
  <c r="FY111" i="1" s="1"/>
  <c r="FZ111" i="1" s="1"/>
  <c r="GA111" i="1" s="1"/>
  <c r="GB111" i="1" s="1"/>
  <c r="GC111" i="1" s="1"/>
  <c r="GD111" i="1" s="1"/>
  <c r="GE111" i="1" s="1"/>
  <c r="GF111" i="1" s="1"/>
  <c r="GG111" i="1" s="1"/>
  <c r="GH111" i="1" s="1"/>
  <c r="GI111" i="1" s="1"/>
  <c r="GJ111" i="1" s="1"/>
  <c r="GK111" i="1" s="1"/>
  <c r="GL111" i="1" s="1"/>
  <c r="GM111" i="1" s="1"/>
  <c r="GN111" i="1" s="1"/>
  <c r="GO111" i="1" s="1"/>
  <c r="GP111" i="1" s="1"/>
  <c r="GQ111" i="1" s="1"/>
  <c r="GR111" i="1" s="1"/>
  <c r="GS111" i="1" s="1"/>
  <c r="GT111" i="1" s="1"/>
  <c r="GU111" i="1" s="1"/>
  <c r="GV111" i="1" s="1"/>
  <c r="GW111" i="1" s="1"/>
  <c r="GX111" i="1" s="1"/>
  <c r="GY111" i="1" s="1"/>
  <c r="GZ111" i="1" s="1"/>
  <c r="HA111" i="1" s="1"/>
  <c r="HB111" i="1" s="1"/>
  <c r="HC111" i="1" s="1"/>
  <c r="HD111" i="1" s="1"/>
  <c r="HE111" i="1" s="1"/>
  <c r="HF111" i="1" s="1"/>
  <c r="HG111" i="1" s="1"/>
  <c r="HH111" i="1" s="1"/>
  <c r="HI111" i="1" s="1"/>
  <c r="HJ111" i="1" s="1"/>
  <c r="HK111" i="1" s="1"/>
  <c r="HL111" i="1" s="1"/>
  <c r="HM111" i="1" s="1"/>
  <c r="HN111" i="1" s="1"/>
  <c r="HO111" i="1" s="1"/>
  <c r="HP111" i="1" s="1"/>
  <c r="HQ111" i="1" s="1"/>
  <c r="HR111" i="1" s="1"/>
  <c r="HS111" i="1" s="1"/>
  <c r="HT111" i="1" s="1"/>
  <c r="HU111" i="1" s="1"/>
  <c r="HV111" i="1" s="1"/>
  <c r="HW111" i="1" s="1"/>
  <c r="HX111" i="1" s="1"/>
  <c r="HY111" i="1" s="1"/>
  <c r="HZ111" i="1" s="1"/>
  <c r="IA111" i="1" s="1"/>
  <c r="IB111" i="1" s="1"/>
  <c r="IC111" i="1" s="1"/>
  <c r="ID111" i="1" s="1"/>
  <c r="IE111" i="1" s="1"/>
  <c r="IF111" i="1" s="1"/>
  <c r="IG111" i="1" s="1"/>
  <c r="IH111" i="1" s="1"/>
  <c r="II111" i="1" s="1"/>
  <c r="IJ111" i="1" s="1"/>
  <c r="IK111" i="1" s="1"/>
  <c r="IL111" i="1" s="1"/>
  <c r="IM111" i="1" s="1"/>
  <c r="IN111" i="1" s="1"/>
  <c r="IO111" i="1" s="1"/>
  <c r="IP111" i="1" s="1"/>
  <c r="IQ111" i="1" s="1"/>
  <c r="IR111" i="1" s="1"/>
  <c r="IS111" i="1" s="1"/>
  <c r="IT111" i="1" s="1"/>
  <c r="IU111" i="1" s="1"/>
  <c r="IV111" i="1" s="1"/>
  <c r="IW111" i="1" s="1"/>
  <c r="IX111" i="1" s="1"/>
  <c r="IY111" i="1" s="1"/>
  <c r="IZ111" i="1" s="1"/>
  <c r="JA111" i="1" s="1"/>
  <c r="JB111" i="1" s="1"/>
  <c r="JC111" i="1" s="1"/>
  <c r="JD111" i="1" s="1"/>
  <c r="JE111" i="1" s="1"/>
  <c r="JF111" i="1" s="1"/>
  <c r="JG111" i="1" s="1"/>
  <c r="JH111" i="1" s="1"/>
  <c r="JI111" i="1" s="1"/>
  <c r="JJ111" i="1" s="1"/>
  <c r="JK111" i="1" s="1"/>
  <c r="JL111" i="1" s="1"/>
  <c r="JM111" i="1" s="1"/>
  <c r="JN111" i="1" s="1"/>
  <c r="JO111" i="1" s="1"/>
  <c r="JP111" i="1" s="1"/>
  <c r="JQ111" i="1" s="1"/>
  <c r="JR111" i="1" s="1"/>
  <c r="JS111" i="1" s="1"/>
  <c r="JT111" i="1" s="1"/>
  <c r="JU111" i="1" s="1"/>
  <c r="JV111" i="1" s="1"/>
  <c r="JW111" i="1" s="1"/>
  <c r="JX111" i="1" s="1"/>
  <c r="JY111" i="1" s="1"/>
  <c r="JZ111" i="1" s="1"/>
  <c r="KA111" i="1" s="1"/>
  <c r="KB111" i="1" s="1"/>
  <c r="KC111" i="1" s="1"/>
  <c r="KD111" i="1" s="1"/>
  <c r="KE111" i="1" s="1"/>
  <c r="KF111" i="1" s="1"/>
  <c r="KG111" i="1" s="1"/>
  <c r="KH111" i="1" s="1"/>
  <c r="KI111" i="1" s="1"/>
  <c r="KJ111" i="1" s="1"/>
  <c r="KK111" i="1" s="1"/>
  <c r="KL111" i="1" s="1"/>
  <c r="KM111" i="1" s="1"/>
  <c r="KN111" i="1" s="1"/>
  <c r="KO111" i="1" s="1"/>
  <c r="KP111" i="1" s="1"/>
  <c r="KQ111" i="1" s="1"/>
  <c r="KR111" i="1" s="1"/>
  <c r="KS111" i="1" s="1"/>
  <c r="KT111" i="1" s="1"/>
  <c r="KU111" i="1" s="1"/>
  <c r="KV111" i="1" s="1"/>
  <c r="KW111" i="1" s="1"/>
  <c r="KX111" i="1" s="1"/>
  <c r="KY111" i="1" s="1"/>
  <c r="KZ111" i="1" s="1"/>
  <c r="LA111" i="1" s="1"/>
  <c r="LB111" i="1" s="1"/>
  <c r="LC111" i="1" s="1"/>
  <c r="LD111" i="1" s="1"/>
  <c r="LE111" i="1" s="1"/>
  <c r="LF111" i="1" s="1"/>
  <c r="LG111" i="1" s="1"/>
  <c r="LH111" i="1" s="1"/>
  <c r="LI111" i="1" s="1"/>
  <c r="LJ111" i="1" s="1"/>
  <c r="LK111" i="1" s="1"/>
  <c r="LL111" i="1" s="1"/>
  <c r="LM111" i="1" s="1"/>
  <c r="LN111" i="1" s="1"/>
  <c r="LO111" i="1" s="1"/>
  <c r="LP111" i="1" s="1"/>
  <c r="LQ111" i="1" s="1"/>
  <c r="LR111" i="1" s="1"/>
  <c r="LS111" i="1" s="1"/>
  <c r="LT111" i="1" s="1"/>
  <c r="LU111" i="1" s="1"/>
  <c r="LV111" i="1" s="1"/>
  <c r="LW111" i="1" s="1"/>
  <c r="LX111" i="1" s="1"/>
  <c r="LY111" i="1" s="1"/>
  <c r="LZ111" i="1" s="1"/>
  <c r="MA111" i="1" s="1"/>
  <c r="MB111" i="1" s="1"/>
  <c r="MC111" i="1" s="1"/>
  <c r="MD111" i="1" s="1"/>
  <c r="ME111" i="1" s="1"/>
  <c r="MF111" i="1" s="1"/>
  <c r="MG111" i="1" s="1"/>
  <c r="MH111" i="1" s="1"/>
  <c r="MI111" i="1" s="1"/>
  <c r="MJ111" i="1" s="1"/>
  <c r="MK111" i="1" s="1"/>
  <c r="ML111" i="1" s="1"/>
  <c r="MM111" i="1" s="1"/>
  <c r="MN111" i="1" s="1"/>
  <c r="MO111" i="1" s="1"/>
  <c r="MP111" i="1" s="1"/>
  <c r="MQ111" i="1" s="1"/>
  <c r="MR111" i="1" s="1"/>
  <c r="MS111" i="1" s="1"/>
  <c r="MT111" i="1" s="1"/>
  <c r="MU111" i="1" s="1"/>
  <c r="MV111" i="1" s="1"/>
  <c r="MW111" i="1" s="1"/>
  <c r="MX111" i="1" s="1"/>
  <c r="II103" i="1"/>
  <c r="IJ103" i="1"/>
  <c r="IK103" i="1"/>
  <c r="IL103" i="1"/>
  <c r="IM103" i="1"/>
  <c r="IN103" i="1"/>
  <c r="IO103" i="1"/>
  <c r="IP103" i="1"/>
  <c r="IQ103" i="1"/>
  <c r="IR103" i="1"/>
  <c r="IS103" i="1"/>
  <c r="IT103" i="1"/>
  <c r="IU103" i="1"/>
  <c r="IV103" i="1"/>
  <c r="IW103" i="1"/>
  <c r="IX103" i="1"/>
  <c r="IY103" i="1"/>
  <c r="IZ103" i="1"/>
  <c r="JA103" i="1"/>
  <c r="JB103" i="1"/>
  <c r="JC103" i="1"/>
  <c r="JD103" i="1"/>
  <c r="JE103" i="1"/>
  <c r="JF103" i="1"/>
  <c r="JG103" i="1"/>
  <c r="JH103" i="1"/>
  <c r="JI103" i="1"/>
  <c r="JJ103" i="1"/>
  <c r="JK103" i="1"/>
  <c r="JL103" i="1"/>
  <c r="JM103" i="1"/>
  <c r="JN103" i="1"/>
  <c r="JO103" i="1"/>
  <c r="JP103" i="1"/>
  <c r="JQ103" i="1"/>
  <c r="JR103" i="1"/>
  <c r="JS103" i="1"/>
  <c r="JT103" i="1"/>
  <c r="JU103" i="1"/>
  <c r="JV103" i="1"/>
  <c r="JW103" i="1"/>
  <c r="JX103" i="1"/>
  <c r="JY103" i="1"/>
  <c r="JZ103" i="1"/>
  <c r="KA103" i="1"/>
  <c r="KB103" i="1"/>
  <c r="KC103" i="1"/>
  <c r="KD103" i="1"/>
  <c r="KE103" i="1"/>
  <c r="KF103" i="1"/>
  <c r="KG103" i="1"/>
  <c r="KH103" i="1"/>
  <c r="KI103" i="1"/>
  <c r="KJ103" i="1"/>
  <c r="KK103" i="1"/>
  <c r="KL103" i="1"/>
  <c r="KM103" i="1"/>
  <c r="KN103" i="1"/>
  <c r="KO103" i="1"/>
  <c r="KP103" i="1"/>
  <c r="KQ103" i="1"/>
  <c r="KR103" i="1"/>
  <c r="KS103" i="1"/>
  <c r="KT103" i="1"/>
  <c r="KU103" i="1"/>
  <c r="KV103" i="1"/>
  <c r="KW103" i="1"/>
  <c r="KX103" i="1"/>
  <c r="KY103" i="1"/>
  <c r="KZ103" i="1"/>
  <c r="LA103" i="1"/>
  <c r="LB103" i="1"/>
  <c r="LC103" i="1"/>
  <c r="LD103" i="1"/>
  <c r="LE103" i="1"/>
  <c r="LF103" i="1"/>
  <c r="LG103" i="1"/>
  <c r="LH103" i="1"/>
  <c r="LI103" i="1"/>
  <c r="LJ103" i="1"/>
  <c r="LK103" i="1"/>
  <c r="LL103" i="1"/>
  <c r="LM103" i="1"/>
  <c r="LN103" i="1"/>
  <c r="LO103" i="1"/>
  <c r="LP103" i="1"/>
  <c r="LQ103" i="1"/>
  <c r="LR103" i="1"/>
  <c r="LS103" i="1"/>
  <c r="LT103" i="1"/>
  <c r="LU103" i="1"/>
  <c r="LV103" i="1"/>
  <c r="LW103" i="1"/>
  <c r="LX103" i="1"/>
  <c r="LY103" i="1"/>
  <c r="LZ103" i="1"/>
  <c r="MA103" i="1"/>
  <c r="MB103" i="1"/>
  <c r="MC103" i="1"/>
  <c r="MD103" i="1"/>
  <c r="ME103" i="1"/>
  <c r="MF103" i="1"/>
  <c r="MG103" i="1"/>
  <c r="MH103" i="1"/>
  <c r="MI103" i="1"/>
  <c r="MJ103" i="1"/>
  <c r="MK103" i="1"/>
  <c r="ML103" i="1"/>
  <c r="MM103" i="1"/>
  <c r="MN103" i="1"/>
  <c r="MO103" i="1"/>
  <c r="MP103" i="1"/>
  <c r="MQ103" i="1"/>
  <c r="MR103" i="1"/>
  <c r="MS103" i="1"/>
  <c r="MT103" i="1"/>
  <c r="MU103" i="1"/>
  <c r="MV103" i="1"/>
  <c r="MW103" i="1"/>
  <c r="MX103" i="1"/>
  <c r="MY103" i="1"/>
  <c r="MZ103" i="1"/>
  <c r="NA103" i="1"/>
  <c r="NB103" i="1"/>
  <c r="NC103" i="1"/>
  <c r="ND103" i="1"/>
  <c r="NE103" i="1"/>
  <c r="NF103" i="1"/>
  <c r="NG103" i="1"/>
  <c r="NH103" i="1"/>
  <c r="NI103" i="1"/>
  <c r="NJ103" i="1"/>
  <c r="NK103" i="1"/>
  <c r="NL103" i="1"/>
  <c r="NM103" i="1"/>
  <c r="NN103" i="1"/>
  <c r="NO103" i="1"/>
  <c r="NP103" i="1"/>
  <c r="NQ103" i="1"/>
  <c r="NR103" i="1"/>
  <c r="NS103" i="1"/>
  <c r="NT103" i="1"/>
  <c r="NU103" i="1"/>
  <c r="NV103" i="1"/>
  <c r="NW103" i="1"/>
  <c r="NX103" i="1"/>
  <c r="NY103" i="1"/>
  <c r="NZ103" i="1"/>
  <c r="OA103" i="1"/>
  <c r="OB103" i="1"/>
  <c r="OC103" i="1"/>
  <c r="OD103" i="1"/>
  <c r="OE103" i="1"/>
  <c r="OF103" i="1"/>
  <c r="OG103" i="1"/>
  <c r="OH103" i="1"/>
  <c r="OI103" i="1"/>
  <c r="OJ103" i="1"/>
  <c r="OK103" i="1"/>
  <c r="OL103" i="1"/>
  <c r="OM103" i="1"/>
  <c r="ON103" i="1"/>
  <c r="OO103" i="1"/>
  <c r="OP103" i="1"/>
  <c r="OQ103" i="1"/>
  <c r="OR103" i="1"/>
  <c r="OS103" i="1"/>
  <c r="OT103" i="1"/>
  <c r="OU103" i="1"/>
  <c r="OV103" i="1"/>
  <c r="OW103" i="1"/>
  <c r="OX103" i="1"/>
  <c r="OY103" i="1"/>
  <c r="OZ103" i="1"/>
  <c r="PA103" i="1"/>
  <c r="PB103" i="1"/>
  <c r="PC103" i="1"/>
  <c r="PD103" i="1"/>
  <c r="PE103" i="1"/>
  <c r="PF103" i="1"/>
  <c r="D127" i="1" l="1"/>
  <c r="D131" i="1" s="1"/>
  <c r="C132" i="1"/>
  <c r="C134" i="1" s="1"/>
  <c r="E121" i="1"/>
  <c r="II102" i="1"/>
  <c r="IJ102" i="1"/>
  <c r="IK102" i="1"/>
  <c r="IL102" i="1"/>
  <c r="IM102" i="1"/>
  <c r="IN102" i="1"/>
  <c r="IO102" i="1"/>
  <c r="IP102" i="1"/>
  <c r="IQ102" i="1"/>
  <c r="IR102" i="1"/>
  <c r="IS102" i="1"/>
  <c r="IT102" i="1"/>
  <c r="IU102" i="1"/>
  <c r="IV102" i="1"/>
  <c r="IW102" i="1"/>
  <c r="IX102" i="1"/>
  <c r="IY102" i="1"/>
  <c r="IZ102" i="1"/>
  <c r="JA102" i="1"/>
  <c r="JB102" i="1"/>
  <c r="JC102" i="1"/>
  <c r="JD102" i="1"/>
  <c r="JE102" i="1"/>
  <c r="JF102" i="1"/>
  <c r="JG102" i="1"/>
  <c r="JH102" i="1"/>
  <c r="JI102" i="1"/>
  <c r="JJ102" i="1"/>
  <c r="JK102" i="1"/>
  <c r="JL102" i="1"/>
  <c r="JM102" i="1"/>
  <c r="JN102" i="1"/>
  <c r="JO102" i="1"/>
  <c r="JP102" i="1"/>
  <c r="JQ102" i="1"/>
  <c r="JR102" i="1"/>
  <c r="JS102" i="1"/>
  <c r="JT102" i="1"/>
  <c r="JU102" i="1"/>
  <c r="JV102" i="1"/>
  <c r="JW102" i="1"/>
  <c r="JX102" i="1"/>
  <c r="JY102" i="1"/>
  <c r="JZ102" i="1"/>
  <c r="KA102" i="1"/>
  <c r="KB102" i="1"/>
  <c r="KC102" i="1"/>
  <c r="KD102" i="1"/>
  <c r="KE102" i="1"/>
  <c r="KF102" i="1"/>
  <c r="KG102" i="1"/>
  <c r="KH102" i="1"/>
  <c r="KI102" i="1"/>
  <c r="KJ102" i="1"/>
  <c r="KK102" i="1"/>
  <c r="KL102" i="1"/>
  <c r="KM102" i="1"/>
  <c r="KN102" i="1"/>
  <c r="KO102" i="1"/>
  <c r="KP102" i="1"/>
  <c r="KQ102" i="1"/>
  <c r="KR102" i="1"/>
  <c r="KS102" i="1"/>
  <c r="KT102" i="1"/>
  <c r="KU102" i="1"/>
  <c r="KV102" i="1"/>
  <c r="KW102" i="1"/>
  <c r="KX102" i="1"/>
  <c r="KY102" i="1"/>
  <c r="KZ102" i="1"/>
  <c r="LA102" i="1"/>
  <c r="LB102" i="1"/>
  <c r="LC102" i="1"/>
  <c r="LD102" i="1"/>
  <c r="LE102" i="1"/>
  <c r="LF102" i="1"/>
  <c r="LG102" i="1"/>
  <c r="LH102" i="1"/>
  <c r="LI102" i="1"/>
  <c r="LJ102" i="1"/>
  <c r="LK102" i="1"/>
  <c r="LL102" i="1"/>
  <c r="LM102" i="1"/>
  <c r="LN102" i="1"/>
  <c r="LO102" i="1"/>
  <c r="LP102" i="1"/>
  <c r="LQ102" i="1"/>
  <c r="LR102" i="1"/>
  <c r="LS102" i="1"/>
  <c r="LT102" i="1"/>
  <c r="LU102" i="1"/>
  <c r="LV102" i="1"/>
  <c r="LW102" i="1"/>
  <c r="LX102" i="1"/>
  <c r="LY102" i="1"/>
  <c r="LZ102" i="1"/>
  <c r="MA102" i="1"/>
  <c r="MB102" i="1"/>
  <c r="MC102" i="1"/>
  <c r="MD102" i="1"/>
  <c r="ME102" i="1"/>
  <c r="MF102" i="1"/>
  <c r="MG102" i="1"/>
  <c r="MH102" i="1"/>
  <c r="MI102" i="1"/>
  <c r="MJ102" i="1"/>
  <c r="MK102" i="1"/>
  <c r="ML102" i="1"/>
  <c r="MM102" i="1"/>
  <c r="MN102" i="1"/>
  <c r="MO102" i="1"/>
  <c r="MP102" i="1"/>
  <c r="MQ102" i="1"/>
  <c r="MR102" i="1"/>
  <c r="MS102" i="1"/>
  <c r="MT102" i="1"/>
  <c r="MU102" i="1"/>
  <c r="MV102" i="1"/>
  <c r="MW102" i="1"/>
  <c r="MX102" i="1"/>
  <c r="MY102" i="1"/>
  <c r="MZ102" i="1"/>
  <c r="NA102" i="1"/>
  <c r="NB102" i="1"/>
  <c r="NC102" i="1"/>
  <c r="ND102" i="1"/>
  <c r="NE102" i="1"/>
  <c r="NF102" i="1"/>
  <c r="NG102" i="1"/>
  <c r="NH102" i="1"/>
  <c r="NI102" i="1"/>
  <c r="NJ102" i="1"/>
  <c r="NK102" i="1"/>
  <c r="NL102" i="1"/>
  <c r="NM102" i="1"/>
  <c r="NN102" i="1"/>
  <c r="NO102" i="1"/>
  <c r="NP102" i="1"/>
  <c r="NQ102" i="1"/>
  <c r="NR102" i="1"/>
  <c r="NS102" i="1"/>
  <c r="NT102" i="1"/>
  <c r="NU102" i="1"/>
  <c r="NV102" i="1"/>
  <c r="NW102" i="1"/>
  <c r="NX102" i="1"/>
  <c r="NY102" i="1"/>
  <c r="NZ102" i="1"/>
  <c r="OA102" i="1"/>
  <c r="OB102" i="1"/>
  <c r="OC102" i="1"/>
  <c r="OD102" i="1"/>
  <c r="OE102" i="1"/>
  <c r="OF102" i="1"/>
  <c r="OG102" i="1"/>
  <c r="OH102" i="1"/>
  <c r="OI102" i="1"/>
  <c r="OJ102" i="1"/>
  <c r="OK102" i="1"/>
  <c r="OL102" i="1"/>
  <c r="OM102" i="1"/>
  <c r="ON102" i="1"/>
  <c r="OO102" i="1"/>
  <c r="OP102" i="1"/>
  <c r="OQ102" i="1"/>
  <c r="OR102" i="1"/>
  <c r="OS102" i="1"/>
  <c r="OT102" i="1"/>
  <c r="OU102" i="1"/>
  <c r="OV102" i="1"/>
  <c r="OW102" i="1"/>
  <c r="OX102" i="1"/>
  <c r="OY102" i="1"/>
  <c r="OZ102" i="1"/>
  <c r="PA102" i="1"/>
  <c r="PB102" i="1"/>
  <c r="PC102" i="1"/>
  <c r="PD102" i="1"/>
  <c r="PE102" i="1"/>
  <c r="PF102" i="1"/>
  <c r="B98" i="1"/>
  <c r="C98" i="1" s="1"/>
  <c r="D98" i="1" s="1"/>
  <c r="E98" i="1" s="1"/>
  <c r="F98" i="1" s="1"/>
  <c r="G98" i="1" s="1"/>
  <c r="H98" i="1" s="1"/>
  <c r="I98" i="1" s="1"/>
  <c r="J98" i="1" s="1"/>
  <c r="K98" i="1" s="1"/>
  <c r="L98" i="1" s="1"/>
  <c r="M98" i="1" s="1"/>
  <c r="N98" i="1" s="1"/>
  <c r="D94" i="1"/>
  <c r="E94" i="1" s="1"/>
  <c r="F94" i="1" s="1"/>
  <c r="G94" i="1" s="1"/>
  <c r="H94" i="1" s="1"/>
  <c r="I94" i="1" s="1"/>
  <c r="J94" i="1" s="1"/>
  <c r="K94" i="1" s="1"/>
  <c r="L94" i="1" s="1"/>
  <c r="M94" i="1" s="1"/>
  <c r="N94" i="1" s="1"/>
  <c r="O94" i="1" s="1"/>
  <c r="P94" i="1" s="1"/>
  <c r="Q94" i="1" s="1"/>
  <c r="R94" i="1" s="1"/>
  <c r="S94" i="1" s="1"/>
  <c r="T94" i="1" s="1"/>
  <c r="U94" i="1" s="1"/>
  <c r="V94" i="1" s="1"/>
  <c r="W94" i="1" s="1"/>
  <c r="X94" i="1" s="1"/>
  <c r="Y94" i="1" s="1"/>
  <c r="Z94" i="1" s="1"/>
  <c r="AA94" i="1" s="1"/>
  <c r="AB94" i="1" s="1"/>
  <c r="AC94" i="1" s="1"/>
  <c r="AD94" i="1" s="1"/>
  <c r="AE94" i="1" s="1"/>
  <c r="AF94" i="1" s="1"/>
  <c r="AG94" i="1" s="1"/>
  <c r="AH94" i="1" s="1"/>
  <c r="AI94" i="1" s="1"/>
  <c r="AJ94" i="1" s="1"/>
  <c r="AK94" i="1" s="1"/>
  <c r="AL94" i="1" s="1"/>
  <c r="AM94" i="1" s="1"/>
  <c r="AN94" i="1" s="1"/>
  <c r="AO94" i="1" s="1"/>
  <c r="AP94" i="1" s="1"/>
  <c r="AQ94" i="1" s="1"/>
  <c r="AR94" i="1" s="1"/>
  <c r="AS94" i="1" s="1"/>
  <c r="AT94" i="1" s="1"/>
  <c r="AU94" i="1" s="1"/>
  <c r="AV94" i="1" s="1"/>
  <c r="AW94" i="1" s="1"/>
  <c r="AX94" i="1" s="1"/>
  <c r="AY94" i="1" s="1"/>
  <c r="AZ94" i="1" s="1"/>
  <c r="BA94" i="1" s="1"/>
  <c r="BB94" i="1" s="1"/>
  <c r="BC94" i="1" s="1"/>
  <c r="BD94" i="1" s="1"/>
  <c r="BE94" i="1" s="1"/>
  <c r="BF94" i="1" s="1"/>
  <c r="BG94" i="1" s="1"/>
  <c r="BH94" i="1" s="1"/>
  <c r="BI94" i="1" s="1"/>
  <c r="BJ94" i="1" s="1"/>
  <c r="BK94" i="1" s="1"/>
  <c r="BL94" i="1" s="1"/>
  <c r="BM94" i="1" s="1"/>
  <c r="BN94" i="1" s="1"/>
  <c r="BO94" i="1" s="1"/>
  <c r="BP94" i="1" s="1"/>
  <c r="BQ94" i="1" s="1"/>
  <c r="BR94" i="1" s="1"/>
  <c r="BS94" i="1" s="1"/>
  <c r="BT94" i="1" s="1"/>
  <c r="BU94" i="1" s="1"/>
  <c r="BV94" i="1" s="1"/>
  <c r="BW94" i="1" s="1"/>
  <c r="BX94" i="1" s="1"/>
  <c r="BY94" i="1" s="1"/>
  <c r="BZ94" i="1" s="1"/>
  <c r="CA94" i="1" s="1"/>
  <c r="CB94" i="1" s="1"/>
  <c r="CC94" i="1" s="1"/>
  <c r="CD94" i="1" s="1"/>
  <c r="CE94" i="1" s="1"/>
  <c r="CF94" i="1" s="1"/>
  <c r="CG94" i="1" s="1"/>
  <c r="CH94" i="1" s="1"/>
  <c r="CI94" i="1" s="1"/>
  <c r="CJ94" i="1" s="1"/>
  <c r="CK94" i="1" s="1"/>
  <c r="CL94" i="1" s="1"/>
  <c r="CM94" i="1" s="1"/>
  <c r="CN94" i="1" s="1"/>
  <c r="CO94" i="1" s="1"/>
  <c r="CP94" i="1" s="1"/>
  <c r="CQ94" i="1" s="1"/>
  <c r="CR94" i="1" s="1"/>
  <c r="CS94" i="1" s="1"/>
  <c r="CT94" i="1" s="1"/>
  <c r="CU94" i="1" s="1"/>
  <c r="CV94" i="1" s="1"/>
  <c r="CW94" i="1" s="1"/>
  <c r="CX94" i="1" s="1"/>
  <c r="CY94" i="1" s="1"/>
  <c r="CZ94" i="1" s="1"/>
  <c r="DA94" i="1" s="1"/>
  <c r="DB94" i="1" s="1"/>
  <c r="DC94" i="1" s="1"/>
  <c r="DD94" i="1" s="1"/>
  <c r="DE94" i="1" s="1"/>
  <c r="DF94" i="1" s="1"/>
  <c r="DG94" i="1" s="1"/>
  <c r="DH94" i="1" s="1"/>
  <c r="DI94" i="1" s="1"/>
  <c r="DJ94" i="1" s="1"/>
  <c r="DK94" i="1" s="1"/>
  <c r="DL94" i="1" s="1"/>
  <c r="DM94" i="1" s="1"/>
  <c r="DN94" i="1" s="1"/>
  <c r="DO94" i="1" s="1"/>
  <c r="DP94" i="1" s="1"/>
  <c r="DQ94" i="1" s="1"/>
  <c r="DR94" i="1" s="1"/>
  <c r="DS94" i="1" s="1"/>
  <c r="DT94" i="1" s="1"/>
  <c r="DU94" i="1" s="1"/>
  <c r="DV94" i="1" s="1"/>
  <c r="DW94" i="1" s="1"/>
  <c r="DX94" i="1" s="1"/>
  <c r="DY94" i="1" s="1"/>
  <c r="DZ94" i="1" s="1"/>
  <c r="EA94" i="1" s="1"/>
  <c r="EB94" i="1" s="1"/>
  <c r="EC94" i="1" s="1"/>
  <c r="ED94" i="1" s="1"/>
  <c r="EE94" i="1" s="1"/>
  <c r="EF94" i="1" s="1"/>
  <c r="EG94" i="1" s="1"/>
  <c r="EH94" i="1" s="1"/>
  <c r="EI94" i="1" s="1"/>
  <c r="EJ94" i="1" s="1"/>
  <c r="EK94" i="1" s="1"/>
  <c r="EL94" i="1" s="1"/>
  <c r="EM94" i="1" s="1"/>
  <c r="EN94" i="1" s="1"/>
  <c r="EO94" i="1" s="1"/>
  <c r="EP94" i="1" s="1"/>
  <c r="EQ94" i="1" s="1"/>
  <c r="ER94" i="1" s="1"/>
  <c r="ES94" i="1" s="1"/>
  <c r="ET94" i="1" s="1"/>
  <c r="EU94" i="1" s="1"/>
  <c r="EV94" i="1" s="1"/>
  <c r="EW94" i="1" s="1"/>
  <c r="EX94" i="1" s="1"/>
  <c r="EY94" i="1" s="1"/>
  <c r="EZ94" i="1" s="1"/>
  <c r="FA94" i="1" s="1"/>
  <c r="FB94" i="1" s="1"/>
  <c r="FC94" i="1" s="1"/>
  <c r="FD94" i="1" s="1"/>
  <c r="FE94" i="1" s="1"/>
  <c r="FF94" i="1" s="1"/>
  <c r="FG94" i="1" s="1"/>
  <c r="FH94" i="1" s="1"/>
  <c r="FI94" i="1" s="1"/>
  <c r="FJ94" i="1" s="1"/>
  <c r="FK94" i="1" s="1"/>
  <c r="FL94" i="1" s="1"/>
  <c r="FM94" i="1" s="1"/>
  <c r="FN94" i="1" s="1"/>
  <c r="FO94" i="1" s="1"/>
  <c r="FP94" i="1" s="1"/>
  <c r="FQ94" i="1" s="1"/>
  <c r="FR94" i="1" s="1"/>
  <c r="FS94" i="1" s="1"/>
  <c r="FT94" i="1" s="1"/>
  <c r="FU94" i="1" s="1"/>
  <c r="FV94" i="1" s="1"/>
  <c r="FW94" i="1" s="1"/>
  <c r="FX94" i="1" s="1"/>
  <c r="FY94" i="1" s="1"/>
  <c r="FZ94" i="1" s="1"/>
  <c r="GA94" i="1" s="1"/>
  <c r="GB94" i="1" s="1"/>
  <c r="GC94" i="1" s="1"/>
  <c r="GD94" i="1" s="1"/>
  <c r="GE94" i="1" s="1"/>
  <c r="GF94" i="1" s="1"/>
  <c r="GG94" i="1" s="1"/>
  <c r="GH94" i="1" s="1"/>
  <c r="GI94" i="1" s="1"/>
  <c r="GJ94" i="1" s="1"/>
  <c r="GK94" i="1" s="1"/>
  <c r="GL94" i="1" s="1"/>
  <c r="GM94" i="1" s="1"/>
  <c r="GN94" i="1" s="1"/>
  <c r="GO94" i="1" s="1"/>
  <c r="GP94" i="1" s="1"/>
  <c r="GQ94" i="1" s="1"/>
  <c r="GR94" i="1" s="1"/>
  <c r="GS94" i="1" s="1"/>
  <c r="GT94" i="1" s="1"/>
  <c r="GU94" i="1" s="1"/>
  <c r="GV94" i="1" s="1"/>
  <c r="GW94" i="1" s="1"/>
  <c r="GX94" i="1" s="1"/>
  <c r="GY94" i="1" s="1"/>
  <c r="GZ94" i="1" s="1"/>
  <c r="HA94" i="1" s="1"/>
  <c r="HB94" i="1" s="1"/>
  <c r="HC94" i="1" s="1"/>
  <c r="HD94" i="1" s="1"/>
  <c r="HE94" i="1" s="1"/>
  <c r="HF94" i="1" s="1"/>
  <c r="HG94" i="1" s="1"/>
  <c r="HH94" i="1" s="1"/>
  <c r="HI94" i="1" s="1"/>
  <c r="HJ94" i="1" s="1"/>
  <c r="HK94" i="1" s="1"/>
  <c r="HL94" i="1" s="1"/>
  <c r="HM94" i="1" s="1"/>
  <c r="HN94" i="1" s="1"/>
  <c r="HO94" i="1" s="1"/>
  <c r="HP94" i="1" s="1"/>
  <c r="HQ94" i="1" s="1"/>
  <c r="HR94" i="1" s="1"/>
  <c r="HS94" i="1" s="1"/>
  <c r="HT94" i="1" s="1"/>
  <c r="HU94" i="1" s="1"/>
  <c r="HV94" i="1" s="1"/>
  <c r="HW94" i="1" s="1"/>
  <c r="HX94" i="1" s="1"/>
  <c r="HY94" i="1" s="1"/>
  <c r="HZ94" i="1" s="1"/>
  <c r="IA94" i="1" s="1"/>
  <c r="IB94" i="1" s="1"/>
  <c r="IC94" i="1" s="1"/>
  <c r="ID94" i="1" s="1"/>
  <c r="IE94" i="1" s="1"/>
  <c r="IF94" i="1" s="1"/>
  <c r="IG94" i="1" s="1"/>
  <c r="IH94" i="1" s="1"/>
  <c r="II94" i="1" s="1"/>
  <c r="IJ94" i="1" s="1"/>
  <c r="IK94" i="1" s="1"/>
  <c r="IL94" i="1" s="1"/>
  <c r="IM94" i="1" s="1"/>
  <c r="IN94" i="1" s="1"/>
  <c r="IO94" i="1" s="1"/>
  <c r="IP94" i="1" s="1"/>
  <c r="IQ94" i="1" s="1"/>
  <c r="IR94" i="1" s="1"/>
  <c r="IS94" i="1" s="1"/>
  <c r="IT94" i="1" s="1"/>
  <c r="IU94" i="1" s="1"/>
  <c r="IV94" i="1" s="1"/>
  <c r="IW94" i="1" s="1"/>
  <c r="IX94" i="1" s="1"/>
  <c r="IY94" i="1" s="1"/>
  <c r="IZ94" i="1" s="1"/>
  <c r="JA94" i="1" s="1"/>
  <c r="JB94" i="1" s="1"/>
  <c r="JC94" i="1" s="1"/>
  <c r="JD94" i="1" s="1"/>
  <c r="JE94" i="1" s="1"/>
  <c r="JF94" i="1" s="1"/>
  <c r="JG94" i="1" s="1"/>
  <c r="JH94" i="1" s="1"/>
  <c r="JI94" i="1" s="1"/>
  <c r="JJ94" i="1" s="1"/>
  <c r="JK94" i="1" s="1"/>
  <c r="JL94" i="1" s="1"/>
  <c r="JM94" i="1" s="1"/>
  <c r="JN94" i="1" s="1"/>
  <c r="JO94" i="1" s="1"/>
  <c r="JP94" i="1" s="1"/>
  <c r="JQ94" i="1" s="1"/>
  <c r="JR94" i="1" s="1"/>
  <c r="JS94" i="1" s="1"/>
  <c r="JT94" i="1" s="1"/>
  <c r="JU94" i="1" s="1"/>
  <c r="JV94" i="1" s="1"/>
  <c r="JW94" i="1" s="1"/>
  <c r="JX94" i="1" s="1"/>
  <c r="JY94" i="1" s="1"/>
  <c r="JZ94" i="1" s="1"/>
  <c r="KA94" i="1" s="1"/>
  <c r="KB94" i="1" s="1"/>
  <c r="KC94" i="1" s="1"/>
  <c r="KD94" i="1" s="1"/>
  <c r="KE94" i="1" s="1"/>
  <c r="KF94" i="1" s="1"/>
  <c r="KG94" i="1" s="1"/>
  <c r="KH94" i="1" s="1"/>
  <c r="KI94" i="1" s="1"/>
  <c r="KJ94" i="1" s="1"/>
  <c r="KK94" i="1" s="1"/>
  <c r="KL94" i="1" s="1"/>
  <c r="KM94" i="1" s="1"/>
  <c r="KN94" i="1" s="1"/>
  <c r="KO94" i="1" s="1"/>
  <c r="KP94" i="1" s="1"/>
  <c r="KQ94" i="1" s="1"/>
  <c r="KR94" i="1" s="1"/>
  <c r="KS94" i="1" s="1"/>
  <c r="KT94" i="1" s="1"/>
  <c r="KU94" i="1" s="1"/>
  <c r="KV94" i="1" s="1"/>
  <c r="KW94" i="1" s="1"/>
  <c r="KX94" i="1" s="1"/>
  <c r="KY94" i="1" s="1"/>
  <c r="KZ94" i="1" s="1"/>
  <c r="LA94" i="1" s="1"/>
  <c r="LB94" i="1" s="1"/>
  <c r="LC94" i="1" s="1"/>
  <c r="LD94" i="1" s="1"/>
  <c r="LE94" i="1" s="1"/>
  <c r="LF94" i="1" s="1"/>
  <c r="LG94" i="1" s="1"/>
  <c r="LH94" i="1" s="1"/>
  <c r="LI94" i="1" s="1"/>
  <c r="LJ94" i="1" s="1"/>
  <c r="LK94" i="1" s="1"/>
  <c r="LL94" i="1" s="1"/>
  <c r="LM94" i="1" s="1"/>
  <c r="LN94" i="1" s="1"/>
  <c r="LO94" i="1" s="1"/>
  <c r="LP94" i="1" s="1"/>
  <c r="LQ94" i="1" s="1"/>
  <c r="LR94" i="1" s="1"/>
  <c r="LS94" i="1" s="1"/>
  <c r="LT94" i="1" s="1"/>
  <c r="LU94" i="1" s="1"/>
  <c r="LV94" i="1" s="1"/>
  <c r="LW94" i="1" s="1"/>
  <c r="LX94" i="1" s="1"/>
  <c r="LY94" i="1" s="1"/>
  <c r="LZ94" i="1" s="1"/>
  <c r="MA94" i="1" s="1"/>
  <c r="MB94" i="1" s="1"/>
  <c r="MC94" i="1" s="1"/>
  <c r="MD94" i="1" s="1"/>
  <c r="ME94" i="1" s="1"/>
  <c r="MF94" i="1" s="1"/>
  <c r="MG94" i="1" s="1"/>
  <c r="MH94" i="1" s="1"/>
  <c r="MI94" i="1" s="1"/>
  <c r="MJ94" i="1" s="1"/>
  <c r="MK94" i="1" s="1"/>
  <c r="ML94" i="1" s="1"/>
  <c r="MM94" i="1" s="1"/>
  <c r="MN94" i="1" s="1"/>
  <c r="MO94" i="1" s="1"/>
  <c r="MP94" i="1" s="1"/>
  <c r="MQ94" i="1" s="1"/>
  <c r="MR94" i="1" s="1"/>
  <c r="MS94" i="1" s="1"/>
  <c r="MT94" i="1" s="1"/>
  <c r="MU94" i="1" s="1"/>
  <c r="MV94" i="1" s="1"/>
  <c r="MW94" i="1" s="1"/>
  <c r="MX94" i="1" s="1"/>
  <c r="MY94" i="1" s="1"/>
  <c r="MZ94" i="1" s="1"/>
  <c r="NA94" i="1" s="1"/>
  <c r="NB94" i="1" s="1"/>
  <c r="NC94" i="1" s="1"/>
  <c r="ND94" i="1" s="1"/>
  <c r="NE94" i="1" s="1"/>
  <c r="NF94" i="1" s="1"/>
  <c r="NG94" i="1" s="1"/>
  <c r="NH94" i="1" s="1"/>
  <c r="NI94" i="1" s="1"/>
  <c r="NJ94" i="1" s="1"/>
  <c r="NK94" i="1" s="1"/>
  <c r="NL94" i="1" s="1"/>
  <c r="NM94" i="1" s="1"/>
  <c r="NN94" i="1" s="1"/>
  <c r="NO94" i="1" s="1"/>
  <c r="NP94" i="1" s="1"/>
  <c r="NQ94" i="1" s="1"/>
  <c r="NR94" i="1" s="1"/>
  <c r="NS94" i="1" s="1"/>
  <c r="NT94" i="1" s="1"/>
  <c r="NU94" i="1" s="1"/>
  <c r="NV94" i="1" s="1"/>
  <c r="NW94" i="1" s="1"/>
  <c r="NX94" i="1" s="1"/>
  <c r="NY94" i="1" s="1"/>
  <c r="NZ94" i="1" s="1"/>
  <c r="OA94" i="1" s="1"/>
  <c r="OB94" i="1" s="1"/>
  <c r="OC94" i="1" s="1"/>
  <c r="OD94" i="1" s="1"/>
  <c r="OE94" i="1" s="1"/>
  <c r="OF94" i="1" s="1"/>
  <c r="OG94" i="1" s="1"/>
  <c r="OH94" i="1" s="1"/>
  <c r="OI94" i="1" s="1"/>
  <c r="OJ94" i="1" s="1"/>
  <c r="OK94" i="1" s="1"/>
  <c r="OL94" i="1" s="1"/>
  <c r="OM94" i="1" s="1"/>
  <c r="ON94" i="1" s="1"/>
  <c r="OO94" i="1" s="1"/>
  <c r="OP94" i="1" s="1"/>
  <c r="OQ94" i="1" s="1"/>
  <c r="OR94" i="1" s="1"/>
  <c r="OS94" i="1" s="1"/>
  <c r="OT94" i="1" s="1"/>
  <c r="OU94" i="1" s="1"/>
  <c r="OV94" i="1" s="1"/>
  <c r="OW94" i="1" s="1"/>
  <c r="OX94" i="1" s="1"/>
  <c r="OY94" i="1" s="1"/>
  <c r="OZ94" i="1" s="1"/>
  <c r="PA94" i="1" s="1"/>
  <c r="PB94" i="1" s="1"/>
  <c r="PC94" i="1" s="1"/>
  <c r="PD94" i="1" s="1"/>
  <c r="PE94" i="1" s="1"/>
  <c r="PF94" i="1" s="1"/>
  <c r="E127" i="1" l="1"/>
  <c r="E131" i="1" s="1"/>
  <c r="D132" i="1"/>
  <c r="D134" i="1" s="1"/>
  <c r="O98" i="1"/>
  <c r="P98" i="1" s="1"/>
  <c r="Q98" i="1" s="1"/>
  <c r="R98" i="1" s="1"/>
  <c r="S98" i="1" s="1"/>
  <c r="T98" i="1" s="1"/>
  <c r="U98" i="1" s="1"/>
  <c r="V98" i="1" s="1"/>
  <c r="W98" i="1" s="1"/>
  <c r="X98" i="1" s="1"/>
  <c r="Y98" i="1" s="1"/>
  <c r="Z98" i="1" s="1"/>
  <c r="C49" i="1"/>
  <c r="PE104" i="1"/>
  <c r="PA104" i="1"/>
  <c r="OW104" i="1"/>
  <c r="OS104" i="1"/>
  <c r="OO104" i="1"/>
  <c r="OK104" i="1"/>
  <c r="OG104" i="1"/>
  <c r="OC104" i="1"/>
  <c r="NY104" i="1"/>
  <c r="NU104" i="1"/>
  <c r="NQ104" i="1"/>
  <c r="NM104" i="1"/>
  <c r="NI104" i="1"/>
  <c r="NE104" i="1"/>
  <c r="NA104" i="1"/>
  <c r="MW104" i="1"/>
  <c r="MS104" i="1"/>
  <c r="MO104" i="1"/>
  <c r="MK104" i="1"/>
  <c r="MG104" i="1"/>
  <c r="MC104" i="1"/>
  <c r="LY104" i="1"/>
  <c r="LU104" i="1"/>
  <c r="LQ104" i="1"/>
  <c r="LM104" i="1"/>
  <c r="LI104" i="1"/>
  <c r="LE104" i="1"/>
  <c r="LA104" i="1"/>
  <c r="KW104" i="1"/>
  <c r="KS104" i="1"/>
  <c r="KO104" i="1"/>
  <c r="KK104" i="1"/>
  <c r="KG104" i="1"/>
  <c r="KC104" i="1"/>
  <c r="JY104" i="1"/>
  <c r="JU104" i="1"/>
  <c r="JQ104" i="1"/>
  <c r="JM104" i="1"/>
  <c r="JI104" i="1"/>
  <c r="JE104" i="1"/>
  <c r="JA104" i="1"/>
  <c r="IW104" i="1"/>
  <c r="IS104" i="1"/>
  <c r="IO104" i="1"/>
  <c r="IK104" i="1"/>
  <c r="PD104" i="1"/>
  <c r="OZ104" i="1"/>
  <c r="OV104" i="1"/>
  <c r="OR104" i="1"/>
  <c r="ON104" i="1"/>
  <c r="OJ104" i="1"/>
  <c r="OF104" i="1"/>
  <c r="OB104" i="1"/>
  <c r="NX104" i="1"/>
  <c r="NT104" i="1"/>
  <c r="NP104" i="1"/>
  <c r="NL104" i="1"/>
  <c r="NH104" i="1"/>
  <c r="ND104" i="1"/>
  <c r="MZ104" i="1"/>
  <c r="MV104" i="1"/>
  <c r="MR104" i="1"/>
  <c r="MN104" i="1"/>
  <c r="MJ104" i="1"/>
  <c r="MF104" i="1"/>
  <c r="MB104" i="1"/>
  <c r="LX104" i="1"/>
  <c r="LT104" i="1"/>
  <c r="LP104" i="1"/>
  <c r="LL104" i="1"/>
  <c r="LH104" i="1"/>
  <c r="LD104" i="1"/>
  <c r="KZ104" i="1"/>
  <c r="KV104" i="1"/>
  <c r="KR104" i="1"/>
  <c r="KN104" i="1"/>
  <c r="KJ104" i="1"/>
  <c r="KF104" i="1"/>
  <c r="KB104" i="1"/>
  <c r="JX104" i="1"/>
  <c r="JT104" i="1"/>
  <c r="JP104" i="1"/>
  <c r="JL104" i="1"/>
  <c r="JH104" i="1"/>
  <c r="JD104" i="1"/>
  <c r="IZ104" i="1"/>
  <c r="IV104" i="1"/>
  <c r="IR104" i="1"/>
  <c r="IN104" i="1"/>
  <c r="IJ104" i="1"/>
  <c r="PC104" i="1"/>
  <c r="OY104" i="1"/>
  <c r="OU104" i="1"/>
  <c r="OQ104" i="1"/>
  <c r="OM104" i="1"/>
  <c r="OI104" i="1"/>
  <c r="OE104" i="1"/>
  <c r="OA104" i="1"/>
  <c r="NW104" i="1"/>
  <c r="NS104" i="1"/>
  <c r="NO104" i="1"/>
  <c r="NK104" i="1"/>
  <c r="NG104" i="1"/>
  <c r="NC104" i="1"/>
  <c r="MY104" i="1"/>
  <c r="MU104" i="1"/>
  <c r="MQ104" i="1"/>
  <c r="MM104" i="1"/>
  <c r="MI104" i="1"/>
  <c r="ME104" i="1"/>
  <c r="MA104" i="1"/>
  <c r="LW104" i="1"/>
  <c r="LS104" i="1"/>
  <c r="LO104" i="1"/>
  <c r="LK104" i="1"/>
  <c r="LG104" i="1"/>
  <c r="LC104" i="1"/>
  <c r="KY104" i="1"/>
  <c r="KU104" i="1"/>
  <c r="KQ104" i="1"/>
  <c r="KM104" i="1"/>
  <c r="KI104" i="1"/>
  <c r="KE104" i="1"/>
  <c r="KA104" i="1"/>
  <c r="JW104" i="1"/>
  <c r="JS104" i="1"/>
  <c r="JO104" i="1"/>
  <c r="JK104" i="1"/>
  <c r="JG104" i="1"/>
  <c r="JC104" i="1"/>
  <c r="IY104" i="1"/>
  <c r="IU104" i="1"/>
  <c r="IQ104" i="1"/>
  <c r="IM104" i="1"/>
  <c r="II104" i="1"/>
  <c r="PF104" i="1"/>
  <c r="PB104" i="1"/>
  <c r="OX104" i="1"/>
  <c r="OT104" i="1"/>
  <c r="OP104" i="1"/>
  <c r="OL104" i="1"/>
  <c r="OH104" i="1"/>
  <c r="OD104" i="1"/>
  <c r="NZ104" i="1"/>
  <c r="NV104" i="1"/>
  <c r="NR104" i="1"/>
  <c r="NN104" i="1"/>
  <c r="NJ104" i="1"/>
  <c r="NF104" i="1"/>
  <c r="NB104" i="1"/>
  <c r="MX104" i="1"/>
  <c r="MT104" i="1"/>
  <c r="MP104" i="1"/>
  <c r="ML104" i="1"/>
  <c r="MH104" i="1"/>
  <c r="MD104" i="1"/>
  <c r="LZ104" i="1"/>
  <c r="LV104" i="1"/>
  <c r="LR104" i="1"/>
  <c r="LN104" i="1"/>
  <c r="LJ104" i="1"/>
  <c r="LF104" i="1"/>
  <c r="LB104" i="1"/>
  <c r="KX104" i="1"/>
  <c r="KT104" i="1"/>
  <c r="KP104" i="1"/>
  <c r="KL104" i="1"/>
  <c r="KH104" i="1"/>
  <c r="KD104" i="1"/>
  <c r="JZ104" i="1"/>
  <c r="JV104" i="1"/>
  <c r="JR104" i="1"/>
  <c r="JN104" i="1"/>
  <c r="JJ104" i="1"/>
  <c r="JF104" i="1"/>
  <c r="JB104" i="1"/>
  <c r="IX104" i="1"/>
  <c r="IT104" i="1"/>
  <c r="IP104" i="1"/>
  <c r="IL104" i="1"/>
  <c r="F121" i="1"/>
  <c r="C46" i="1"/>
  <c r="B49" i="1"/>
  <c r="C65" i="1" l="1"/>
  <c r="C66" i="1"/>
  <c r="F127" i="1"/>
  <c r="F131" i="1" s="1"/>
  <c r="C79" i="1"/>
  <c r="C61" i="1"/>
  <c r="C60" i="1"/>
  <c r="E132" i="1"/>
  <c r="E134" i="1" s="1"/>
  <c r="C74" i="1"/>
  <c r="C72" i="1"/>
  <c r="C76" i="1"/>
  <c r="AA98" i="1"/>
  <c r="AB98" i="1" s="1"/>
  <c r="AC98" i="1" s="1"/>
  <c r="AD98" i="1" s="1"/>
  <c r="AE98" i="1" s="1"/>
  <c r="AF98" i="1" s="1"/>
  <c r="AG98" i="1" s="1"/>
  <c r="AH98" i="1" s="1"/>
  <c r="AI98" i="1" s="1"/>
  <c r="AJ98" i="1" s="1"/>
  <c r="AK98" i="1" s="1"/>
  <c r="AL98" i="1" s="1"/>
  <c r="D49" i="1"/>
  <c r="G121" i="1"/>
  <c r="D46" i="1"/>
  <c r="B24" i="1"/>
  <c r="D66" i="1" l="1"/>
  <c r="D65" i="1"/>
  <c r="G127" i="1"/>
  <c r="G131" i="1" s="1"/>
  <c r="D61" i="1"/>
  <c r="F132" i="1"/>
  <c r="F134" i="1" s="1"/>
  <c r="D79" i="1"/>
  <c r="D76" i="1"/>
  <c r="D74" i="1"/>
  <c r="D72" i="1"/>
  <c r="D60" i="1"/>
  <c r="AM98" i="1"/>
  <c r="AN98" i="1" s="1"/>
  <c r="AO98" i="1" s="1"/>
  <c r="AP98" i="1" s="1"/>
  <c r="AQ98" i="1" s="1"/>
  <c r="AR98" i="1" s="1"/>
  <c r="AS98" i="1" s="1"/>
  <c r="AT98" i="1" s="1"/>
  <c r="AU98" i="1" s="1"/>
  <c r="AV98" i="1" s="1"/>
  <c r="AW98" i="1" s="1"/>
  <c r="AX98" i="1" s="1"/>
  <c r="E49" i="1"/>
  <c r="H121" i="1"/>
  <c r="B27" i="1"/>
  <c r="B99" i="1"/>
  <c r="B50" i="1"/>
  <c r="E46" i="1"/>
  <c r="E65" i="1" l="1"/>
  <c r="E66" i="1"/>
  <c r="E61" i="1"/>
  <c r="H127" i="1"/>
  <c r="G132" i="1"/>
  <c r="G134" i="1" s="1"/>
  <c r="E79" i="1"/>
  <c r="E76" i="1"/>
  <c r="E74" i="1"/>
  <c r="E72" i="1"/>
  <c r="E60" i="1"/>
  <c r="AY98" i="1"/>
  <c r="AZ98" i="1" s="1"/>
  <c r="BA98" i="1" s="1"/>
  <c r="BB98" i="1" s="1"/>
  <c r="BC98" i="1" s="1"/>
  <c r="BD98" i="1" s="1"/>
  <c r="BE98" i="1" s="1"/>
  <c r="BF98" i="1" s="1"/>
  <c r="BG98" i="1" s="1"/>
  <c r="BH98" i="1" s="1"/>
  <c r="BI98" i="1" s="1"/>
  <c r="BJ98" i="1" s="1"/>
  <c r="F49" i="1"/>
  <c r="C102" i="1"/>
  <c r="I121" i="1"/>
  <c r="F46" i="1"/>
  <c r="F61" i="1" s="1"/>
  <c r="B51" i="1"/>
  <c r="C103" i="1"/>
  <c r="C109" i="1" s="1"/>
  <c r="B100" i="1"/>
  <c r="H102" i="1"/>
  <c r="P102" i="1"/>
  <c r="X102" i="1"/>
  <c r="AF102" i="1"/>
  <c r="AN102" i="1"/>
  <c r="AV102" i="1"/>
  <c r="BD102" i="1"/>
  <c r="BL102" i="1"/>
  <c r="BT102" i="1"/>
  <c r="CB102" i="1"/>
  <c r="CG102" i="1"/>
  <c r="CM102" i="1"/>
  <c r="CR102" i="1"/>
  <c r="CW102" i="1"/>
  <c r="DC102" i="1"/>
  <c r="DH102" i="1"/>
  <c r="DM102" i="1"/>
  <c r="DS102" i="1"/>
  <c r="DX102" i="1"/>
  <c r="EC102" i="1"/>
  <c r="EI102" i="1"/>
  <c r="EN102" i="1"/>
  <c r="ES102" i="1"/>
  <c r="EY102" i="1"/>
  <c r="FD102" i="1"/>
  <c r="FI102" i="1"/>
  <c r="FO102" i="1"/>
  <c r="FT102" i="1"/>
  <c r="FY102" i="1"/>
  <c r="GE102" i="1"/>
  <c r="GJ102" i="1"/>
  <c r="GO102" i="1"/>
  <c r="GU102" i="1"/>
  <c r="GZ102" i="1"/>
  <c r="HE102" i="1"/>
  <c r="HK102" i="1"/>
  <c r="HP102" i="1"/>
  <c r="HU102" i="1"/>
  <c r="IA102" i="1"/>
  <c r="IF102" i="1"/>
  <c r="CY102" i="1"/>
  <c r="DT102" i="1"/>
  <c r="DY102" i="1"/>
  <c r="EJ102" i="1"/>
  <c r="EU102" i="1"/>
  <c r="EZ102" i="1"/>
  <c r="FK102" i="1"/>
  <c r="FP102" i="1"/>
  <c r="GA102" i="1"/>
  <c r="GK102" i="1"/>
  <c r="GQ102" i="1"/>
  <c r="HA102" i="1"/>
  <c r="HG102" i="1"/>
  <c r="HQ102" i="1"/>
  <c r="HW102" i="1"/>
  <c r="IG102" i="1"/>
  <c r="L102" i="1"/>
  <c r="T102" i="1"/>
  <c r="AJ102" i="1"/>
  <c r="AR102" i="1"/>
  <c r="BH102" i="1"/>
  <c r="BX102" i="1"/>
  <c r="CE102" i="1"/>
  <c r="I102" i="1"/>
  <c r="Q102" i="1"/>
  <c r="Y102" i="1"/>
  <c r="AG102" i="1"/>
  <c r="AO102" i="1"/>
  <c r="AW102" i="1"/>
  <c r="BE102" i="1"/>
  <c r="BM102" i="1"/>
  <c r="BU102" i="1"/>
  <c r="CC102" i="1"/>
  <c r="CI102" i="1"/>
  <c r="CN102" i="1"/>
  <c r="CS102" i="1"/>
  <c r="DD102" i="1"/>
  <c r="DI102" i="1"/>
  <c r="DO102" i="1"/>
  <c r="EE102" i="1"/>
  <c r="EO102" i="1"/>
  <c r="FE102" i="1"/>
  <c r="FU102" i="1"/>
  <c r="GF102" i="1"/>
  <c r="GV102" i="1"/>
  <c r="HL102" i="1"/>
  <c r="IB102" i="1"/>
  <c r="D102" i="1"/>
  <c r="AB102" i="1"/>
  <c r="AZ102" i="1"/>
  <c r="BP102" i="1"/>
  <c r="U102" i="1"/>
  <c r="BA102" i="1"/>
  <c r="CF102" i="1"/>
  <c r="CQ102" i="1"/>
  <c r="DA102" i="1"/>
  <c r="DL102" i="1"/>
  <c r="DW102" i="1"/>
  <c r="EG102" i="1"/>
  <c r="ER102" i="1"/>
  <c r="FC102" i="1"/>
  <c r="FM102" i="1"/>
  <c r="FX102" i="1"/>
  <c r="GI102" i="1"/>
  <c r="GS102" i="1"/>
  <c r="HD102" i="1"/>
  <c r="HO102" i="1"/>
  <c r="HY102" i="1"/>
  <c r="AC102" i="1"/>
  <c r="BI102" i="1"/>
  <c r="CJ102" i="1"/>
  <c r="CU102" i="1"/>
  <c r="DE102" i="1"/>
  <c r="DP102" i="1"/>
  <c r="EA102" i="1"/>
  <c r="EK102" i="1"/>
  <c r="EV102" i="1"/>
  <c r="FG102" i="1"/>
  <c r="FQ102" i="1"/>
  <c r="GB102" i="1"/>
  <c r="GM102" i="1"/>
  <c r="GW102" i="1"/>
  <c r="HH102" i="1"/>
  <c r="HS102" i="1"/>
  <c r="IC102" i="1"/>
  <c r="E102" i="1"/>
  <c r="AK102" i="1"/>
  <c r="BQ102" i="1"/>
  <c r="CK102" i="1"/>
  <c r="CV102" i="1"/>
  <c r="DG102" i="1"/>
  <c r="DQ102" i="1"/>
  <c r="EB102" i="1"/>
  <c r="EM102" i="1"/>
  <c r="EW102" i="1"/>
  <c r="FH102" i="1"/>
  <c r="FS102" i="1"/>
  <c r="GC102" i="1"/>
  <c r="GN102" i="1"/>
  <c r="GY102" i="1"/>
  <c r="HI102" i="1"/>
  <c r="HT102" i="1"/>
  <c r="IE102" i="1"/>
  <c r="M102" i="1"/>
  <c r="AS102" i="1"/>
  <c r="BY102" i="1"/>
  <c r="CO102" i="1"/>
  <c r="CZ102" i="1"/>
  <c r="DK102" i="1"/>
  <c r="DU102" i="1"/>
  <c r="EF102" i="1"/>
  <c r="EQ102" i="1"/>
  <c r="FA102" i="1"/>
  <c r="FL102" i="1"/>
  <c r="FW102" i="1"/>
  <c r="GG102" i="1"/>
  <c r="GR102" i="1"/>
  <c r="HC102" i="1"/>
  <c r="HM102" i="1"/>
  <c r="HX102" i="1"/>
  <c r="J102" i="1"/>
  <c r="Z102" i="1"/>
  <c r="AP102" i="1"/>
  <c r="BF102" i="1"/>
  <c r="BV102" i="1"/>
  <c r="CL102" i="1"/>
  <c r="DB102" i="1"/>
  <c r="DR102" i="1"/>
  <c r="EH102" i="1"/>
  <c r="EX102" i="1"/>
  <c r="FN102" i="1"/>
  <c r="GD102" i="1"/>
  <c r="GT102" i="1"/>
  <c r="HJ102" i="1"/>
  <c r="HZ102" i="1"/>
  <c r="K102" i="1"/>
  <c r="AA102" i="1"/>
  <c r="AQ102" i="1"/>
  <c r="BG102" i="1"/>
  <c r="BW102" i="1"/>
  <c r="AX102" i="1"/>
  <c r="CD102" i="1"/>
  <c r="DJ102" i="1"/>
  <c r="EP102" i="1"/>
  <c r="FV102" i="1"/>
  <c r="HB102" i="1"/>
  <c r="IH102" i="1"/>
  <c r="AI102" i="1"/>
  <c r="BO102" i="1"/>
  <c r="F102" i="1"/>
  <c r="BB102" i="1"/>
  <c r="CH102" i="1"/>
  <c r="DN102" i="1"/>
  <c r="ET102" i="1"/>
  <c r="FZ102" i="1"/>
  <c r="HF102" i="1"/>
  <c r="G102" i="1"/>
  <c r="AM102" i="1"/>
  <c r="BS102" i="1"/>
  <c r="N102" i="1"/>
  <c r="AD102" i="1"/>
  <c r="AT102" i="1"/>
  <c r="BJ102" i="1"/>
  <c r="BZ102" i="1"/>
  <c r="CP102" i="1"/>
  <c r="DF102" i="1"/>
  <c r="DV102" i="1"/>
  <c r="EL102" i="1"/>
  <c r="FB102" i="1"/>
  <c r="FR102" i="1"/>
  <c r="GH102" i="1"/>
  <c r="GX102" i="1"/>
  <c r="HN102" i="1"/>
  <c r="ID102" i="1"/>
  <c r="O102" i="1"/>
  <c r="AE102" i="1"/>
  <c r="AU102" i="1"/>
  <c r="BK102" i="1"/>
  <c r="CA102" i="1"/>
  <c r="R102" i="1"/>
  <c r="AH102" i="1"/>
  <c r="BN102" i="1"/>
  <c r="CT102" i="1"/>
  <c r="DZ102" i="1"/>
  <c r="FF102" i="1"/>
  <c r="GL102" i="1"/>
  <c r="HR102" i="1"/>
  <c r="S102" i="1"/>
  <c r="AY102" i="1"/>
  <c r="V102" i="1"/>
  <c r="AL102" i="1"/>
  <c r="BR102" i="1"/>
  <c r="CX102" i="1"/>
  <c r="ED102" i="1"/>
  <c r="FJ102" i="1"/>
  <c r="GP102" i="1"/>
  <c r="HV102" i="1"/>
  <c r="W102" i="1"/>
  <c r="BC102" i="1"/>
  <c r="F66" i="1" l="1"/>
  <c r="F65" i="1"/>
  <c r="I127" i="1"/>
  <c r="I131" i="1" s="1"/>
  <c r="E53" i="1"/>
  <c r="H131" i="1"/>
  <c r="F76" i="1"/>
  <c r="F74" i="1"/>
  <c r="F79" i="1"/>
  <c r="F72" i="1"/>
  <c r="F60" i="1"/>
  <c r="F53" i="1"/>
  <c r="C53" i="1"/>
  <c r="D53" i="1"/>
  <c r="BK98" i="1"/>
  <c r="BL98" i="1" s="1"/>
  <c r="BM98" i="1" s="1"/>
  <c r="BN98" i="1" s="1"/>
  <c r="BO98" i="1" s="1"/>
  <c r="BP98" i="1" s="1"/>
  <c r="BQ98" i="1" s="1"/>
  <c r="BR98" i="1" s="1"/>
  <c r="BS98" i="1" s="1"/>
  <c r="BT98" i="1" s="1"/>
  <c r="BU98" i="1" s="1"/>
  <c r="BV98" i="1" s="1"/>
  <c r="G49" i="1"/>
  <c r="J121" i="1"/>
  <c r="C104" i="1"/>
  <c r="G46" i="1"/>
  <c r="G61" i="1" s="1"/>
  <c r="G66" i="1" l="1"/>
  <c r="G65" i="1"/>
  <c r="J127" i="1"/>
  <c r="H132" i="1"/>
  <c r="H134" i="1" s="1"/>
  <c r="G76" i="1"/>
  <c r="G74" i="1"/>
  <c r="G79" i="1"/>
  <c r="G72" i="1"/>
  <c r="G53" i="1"/>
  <c r="G60" i="1"/>
  <c r="BW98" i="1"/>
  <c r="BX98" i="1" s="1"/>
  <c r="BY98" i="1" s="1"/>
  <c r="BZ98" i="1" s="1"/>
  <c r="CA98" i="1" s="1"/>
  <c r="CB98" i="1" s="1"/>
  <c r="CC98" i="1" s="1"/>
  <c r="CD98" i="1" s="1"/>
  <c r="CE98" i="1" s="1"/>
  <c r="CF98" i="1" s="1"/>
  <c r="CG98" i="1" s="1"/>
  <c r="CH98" i="1" s="1"/>
  <c r="H49" i="1"/>
  <c r="K121" i="1"/>
  <c r="C99" i="1"/>
  <c r="D103" i="1" s="1"/>
  <c r="C108" i="1"/>
  <c r="H46" i="1"/>
  <c r="H61" i="1" s="1"/>
  <c r="H65" i="1" l="1"/>
  <c r="H66" i="1"/>
  <c r="K127" i="1"/>
  <c r="K131" i="1" s="1"/>
  <c r="I132" i="1"/>
  <c r="I134" i="1" s="1"/>
  <c r="H79" i="1"/>
  <c r="H76" i="1"/>
  <c r="H74" i="1"/>
  <c r="H72" i="1"/>
  <c r="J131" i="1"/>
  <c r="H53" i="1"/>
  <c r="H60" i="1"/>
  <c r="C113" i="1"/>
  <c r="CI98" i="1"/>
  <c r="CJ98" i="1" s="1"/>
  <c r="CK98" i="1" s="1"/>
  <c r="CL98" i="1" s="1"/>
  <c r="CM98" i="1" s="1"/>
  <c r="CN98" i="1" s="1"/>
  <c r="CO98" i="1" s="1"/>
  <c r="CP98" i="1" s="1"/>
  <c r="CQ98" i="1" s="1"/>
  <c r="CR98" i="1" s="1"/>
  <c r="CS98" i="1" s="1"/>
  <c r="CT98" i="1" s="1"/>
  <c r="I49" i="1"/>
  <c r="L121" i="1"/>
  <c r="C100" i="1"/>
  <c r="D109" i="1"/>
  <c r="D104" i="1"/>
  <c r="I46" i="1"/>
  <c r="I61" i="1" s="1"/>
  <c r="I65" i="1" l="1"/>
  <c r="I66" i="1"/>
  <c r="L127" i="1"/>
  <c r="L131" i="1" s="1"/>
  <c r="J132" i="1"/>
  <c r="J134" i="1" s="1"/>
  <c r="C114" i="1"/>
  <c r="C116" i="1" s="1"/>
  <c r="I79" i="1"/>
  <c r="I76" i="1"/>
  <c r="I74" i="1"/>
  <c r="I72" i="1"/>
  <c r="I53" i="1"/>
  <c r="I60" i="1"/>
  <c r="CU98" i="1"/>
  <c r="CV98" i="1" s="1"/>
  <c r="CW98" i="1" s="1"/>
  <c r="CX98" i="1" s="1"/>
  <c r="CY98" i="1" s="1"/>
  <c r="CZ98" i="1" s="1"/>
  <c r="DA98" i="1" s="1"/>
  <c r="DB98" i="1" s="1"/>
  <c r="DC98" i="1" s="1"/>
  <c r="DD98" i="1" s="1"/>
  <c r="DE98" i="1" s="1"/>
  <c r="DF98" i="1" s="1"/>
  <c r="J49" i="1"/>
  <c r="M121" i="1"/>
  <c r="D99" i="1"/>
  <c r="E103" i="1" s="1"/>
  <c r="D108" i="1"/>
  <c r="J46" i="1"/>
  <c r="J61" i="1" s="1"/>
  <c r="J66" i="1" l="1"/>
  <c r="J65" i="1"/>
  <c r="M127" i="1"/>
  <c r="M131" i="1" s="1"/>
  <c r="K132" i="1"/>
  <c r="K134" i="1" s="1"/>
  <c r="J76" i="1"/>
  <c r="J74" i="1"/>
  <c r="J79" i="1"/>
  <c r="J72" i="1"/>
  <c r="D113" i="1"/>
  <c r="J53" i="1"/>
  <c r="J60" i="1"/>
  <c r="DG98" i="1"/>
  <c r="DH98" i="1" s="1"/>
  <c r="DI98" i="1" s="1"/>
  <c r="DJ98" i="1" s="1"/>
  <c r="DK98" i="1" s="1"/>
  <c r="DL98" i="1" s="1"/>
  <c r="DM98" i="1" s="1"/>
  <c r="DN98" i="1" s="1"/>
  <c r="DO98" i="1" s="1"/>
  <c r="DP98" i="1" s="1"/>
  <c r="DQ98" i="1" s="1"/>
  <c r="DR98" i="1" s="1"/>
  <c r="K49" i="1"/>
  <c r="N121" i="1"/>
  <c r="D100" i="1"/>
  <c r="E104" i="1"/>
  <c r="E109" i="1"/>
  <c r="K46" i="1"/>
  <c r="K61" i="1" s="1"/>
  <c r="K66" i="1" l="1"/>
  <c r="K65" i="1"/>
  <c r="N127" i="1"/>
  <c r="L132" i="1"/>
  <c r="L134" i="1" s="1"/>
  <c r="D114" i="1"/>
  <c r="D116" i="1" s="1"/>
  <c r="K76" i="1"/>
  <c r="K74" i="1"/>
  <c r="K79" i="1"/>
  <c r="K72" i="1"/>
  <c r="K53" i="1"/>
  <c r="K60" i="1"/>
  <c r="DS98" i="1"/>
  <c r="DT98" i="1" s="1"/>
  <c r="DU98" i="1" s="1"/>
  <c r="DV98" i="1" s="1"/>
  <c r="DW98" i="1" s="1"/>
  <c r="DX98" i="1" s="1"/>
  <c r="DY98" i="1" s="1"/>
  <c r="DZ98" i="1" s="1"/>
  <c r="EA98" i="1" s="1"/>
  <c r="EB98" i="1" s="1"/>
  <c r="EC98" i="1" s="1"/>
  <c r="ED98" i="1" s="1"/>
  <c r="L49" i="1"/>
  <c r="O121" i="1"/>
  <c r="N131" i="1"/>
  <c r="E99" i="1"/>
  <c r="F103" i="1" s="1"/>
  <c r="E108" i="1"/>
  <c r="L46" i="1"/>
  <c r="L61" i="1" s="1"/>
  <c r="L65" i="1" l="1"/>
  <c r="L66" i="1"/>
  <c r="O127" i="1"/>
  <c r="M132" i="1"/>
  <c r="M134" i="1" s="1"/>
  <c r="L79" i="1"/>
  <c r="L76" i="1"/>
  <c r="L74" i="1"/>
  <c r="L72" i="1"/>
  <c r="E113" i="1"/>
  <c r="L53" i="1"/>
  <c r="L60" i="1"/>
  <c r="EE98" i="1"/>
  <c r="EF98" i="1" s="1"/>
  <c r="EG98" i="1" s="1"/>
  <c r="EH98" i="1" s="1"/>
  <c r="EI98" i="1" s="1"/>
  <c r="EJ98" i="1" s="1"/>
  <c r="EK98" i="1" s="1"/>
  <c r="EL98" i="1" s="1"/>
  <c r="EM98" i="1" s="1"/>
  <c r="EN98" i="1" s="1"/>
  <c r="EO98" i="1" s="1"/>
  <c r="EP98" i="1" s="1"/>
  <c r="M49" i="1"/>
  <c r="P121" i="1"/>
  <c r="E100" i="1"/>
  <c r="F104" i="1"/>
  <c r="F109" i="1"/>
  <c r="M46" i="1"/>
  <c r="M61" i="1" s="1"/>
  <c r="M65" i="1" l="1"/>
  <c r="M66" i="1"/>
  <c r="P127" i="1"/>
  <c r="P131" i="1" s="1"/>
  <c r="N132" i="1"/>
  <c r="N134" i="1" s="1"/>
  <c r="E114" i="1"/>
  <c r="E116" i="1" s="1"/>
  <c r="M79" i="1"/>
  <c r="M76" i="1"/>
  <c r="M74" i="1"/>
  <c r="M72" i="1"/>
  <c r="O131" i="1"/>
  <c r="M53" i="1"/>
  <c r="M60" i="1"/>
  <c r="EQ98" i="1"/>
  <c r="ER98" i="1" s="1"/>
  <c r="ES98" i="1" s="1"/>
  <c r="ET98" i="1" s="1"/>
  <c r="EU98" i="1" s="1"/>
  <c r="EV98" i="1" s="1"/>
  <c r="EW98" i="1" s="1"/>
  <c r="EX98" i="1" s="1"/>
  <c r="EY98" i="1" s="1"/>
  <c r="EZ98" i="1" s="1"/>
  <c r="FA98" i="1" s="1"/>
  <c r="FB98" i="1" s="1"/>
  <c r="N49" i="1"/>
  <c r="Q121" i="1"/>
  <c r="F99" i="1"/>
  <c r="G103" i="1" s="1"/>
  <c r="F108" i="1"/>
  <c r="N46" i="1"/>
  <c r="N61" i="1" s="1"/>
  <c r="N66" i="1" l="1"/>
  <c r="N65" i="1"/>
  <c r="Q127" i="1"/>
  <c r="O132" i="1"/>
  <c r="N76" i="1"/>
  <c r="N74" i="1"/>
  <c r="N79" i="1"/>
  <c r="N72" i="1"/>
  <c r="F113" i="1"/>
  <c r="N53" i="1"/>
  <c r="N60" i="1"/>
  <c r="FC98" i="1"/>
  <c r="FD98" i="1" s="1"/>
  <c r="FE98" i="1" s="1"/>
  <c r="FF98" i="1" s="1"/>
  <c r="FG98" i="1" s="1"/>
  <c r="FH98" i="1" s="1"/>
  <c r="FI98" i="1" s="1"/>
  <c r="FJ98" i="1" s="1"/>
  <c r="FK98" i="1" s="1"/>
  <c r="FL98" i="1" s="1"/>
  <c r="FM98" i="1" s="1"/>
  <c r="FN98" i="1" s="1"/>
  <c r="O49" i="1"/>
  <c r="R121" i="1"/>
  <c r="F100" i="1"/>
  <c r="O46" i="1"/>
  <c r="O61" i="1" s="1"/>
  <c r="G104" i="1"/>
  <c r="G109" i="1"/>
  <c r="O66" i="1" l="1"/>
  <c r="O65" i="1"/>
  <c r="R127" i="1"/>
  <c r="R131" i="1" s="1"/>
  <c r="O134" i="1"/>
  <c r="P132" i="1"/>
  <c r="P134" i="1" s="1"/>
  <c r="F114" i="1"/>
  <c r="F116" i="1" s="1"/>
  <c r="Q131" i="1"/>
  <c r="O76" i="1"/>
  <c r="O74" i="1"/>
  <c r="O79" i="1"/>
  <c r="O72" i="1"/>
  <c r="O53" i="1"/>
  <c r="O60" i="1"/>
  <c r="FO98" i="1"/>
  <c r="FP98" i="1" s="1"/>
  <c r="FQ98" i="1" s="1"/>
  <c r="FR98" i="1" s="1"/>
  <c r="FS98" i="1" s="1"/>
  <c r="FT98" i="1" s="1"/>
  <c r="FU98" i="1" s="1"/>
  <c r="FV98" i="1" s="1"/>
  <c r="FW98" i="1" s="1"/>
  <c r="FX98" i="1" s="1"/>
  <c r="FY98" i="1" s="1"/>
  <c r="FZ98" i="1" s="1"/>
  <c r="P49" i="1"/>
  <c r="S121" i="1"/>
  <c r="G99" i="1"/>
  <c r="H103" i="1" s="1"/>
  <c r="G108" i="1"/>
  <c r="G113" i="1" s="1"/>
  <c r="P46" i="1"/>
  <c r="P61" i="1" s="1"/>
  <c r="P65" i="1" l="1"/>
  <c r="P66" i="1"/>
  <c r="S127" i="1"/>
  <c r="Q132" i="1"/>
  <c r="G114" i="1"/>
  <c r="P79" i="1"/>
  <c r="P76" i="1"/>
  <c r="P74" i="1"/>
  <c r="P72" i="1"/>
  <c r="P53" i="1"/>
  <c r="P60" i="1"/>
  <c r="GA98" i="1"/>
  <c r="GB98" i="1" s="1"/>
  <c r="GC98" i="1" s="1"/>
  <c r="GD98" i="1" s="1"/>
  <c r="GE98" i="1" s="1"/>
  <c r="GF98" i="1" s="1"/>
  <c r="GG98" i="1" s="1"/>
  <c r="GH98" i="1" s="1"/>
  <c r="GI98" i="1" s="1"/>
  <c r="GJ98" i="1" s="1"/>
  <c r="GK98" i="1" s="1"/>
  <c r="GL98" i="1" s="1"/>
  <c r="Q49" i="1"/>
  <c r="T121" i="1"/>
  <c r="G100" i="1"/>
  <c r="Q46" i="1"/>
  <c r="Q61" i="1" s="1"/>
  <c r="H104" i="1"/>
  <c r="H109" i="1"/>
  <c r="Q65" i="1" l="1"/>
  <c r="Q66" i="1"/>
  <c r="T127" i="1"/>
  <c r="T131" i="1" s="1"/>
  <c r="G116" i="1"/>
  <c r="Q134" i="1"/>
  <c r="R132" i="1"/>
  <c r="R134" i="1" s="1"/>
  <c r="Q79" i="1"/>
  <c r="Q76" i="1"/>
  <c r="Q74" i="1"/>
  <c r="Q72" i="1"/>
  <c r="S131" i="1"/>
  <c r="Q53" i="1"/>
  <c r="Q60" i="1"/>
  <c r="GM98" i="1"/>
  <c r="GN98" i="1" s="1"/>
  <c r="GO98" i="1" s="1"/>
  <c r="GP98" i="1" s="1"/>
  <c r="GQ98" i="1" s="1"/>
  <c r="GR98" i="1" s="1"/>
  <c r="GS98" i="1" s="1"/>
  <c r="GT98" i="1" s="1"/>
  <c r="GU98" i="1" s="1"/>
  <c r="GV98" i="1" s="1"/>
  <c r="GW98" i="1" s="1"/>
  <c r="GX98" i="1" s="1"/>
  <c r="R49" i="1"/>
  <c r="U121" i="1"/>
  <c r="H99" i="1"/>
  <c r="H100" i="1" s="1"/>
  <c r="H108" i="1"/>
  <c r="H113" i="1" s="1"/>
  <c r="R46" i="1"/>
  <c r="R61" i="1" s="1"/>
  <c r="R66" i="1" l="1"/>
  <c r="R65" i="1"/>
  <c r="U127" i="1"/>
  <c r="S132" i="1"/>
  <c r="T132" i="1" s="1"/>
  <c r="T134" i="1" s="1"/>
  <c r="H114" i="1"/>
  <c r="H116" i="1" s="1"/>
  <c r="R76" i="1"/>
  <c r="R74" i="1"/>
  <c r="R79" i="1"/>
  <c r="R72" i="1"/>
  <c r="R53" i="1"/>
  <c r="R60" i="1"/>
  <c r="GY98" i="1"/>
  <c r="GZ98" i="1" s="1"/>
  <c r="HA98" i="1" s="1"/>
  <c r="HB98" i="1" s="1"/>
  <c r="HC98" i="1" s="1"/>
  <c r="HD98" i="1" s="1"/>
  <c r="HE98" i="1" s="1"/>
  <c r="HF98" i="1" s="1"/>
  <c r="HG98" i="1" s="1"/>
  <c r="HH98" i="1" s="1"/>
  <c r="HI98" i="1" s="1"/>
  <c r="HJ98" i="1" s="1"/>
  <c r="S49" i="1"/>
  <c r="V121" i="1"/>
  <c r="I103" i="1"/>
  <c r="I109" i="1" s="1"/>
  <c r="S46" i="1"/>
  <c r="S61" i="1" s="1"/>
  <c r="S66" i="1" l="1"/>
  <c r="S65" i="1"/>
  <c r="V127" i="1"/>
  <c r="V131" i="1" s="1"/>
  <c r="S134" i="1"/>
  <c r="U131" i="1"/>
  <c r="S76" i="1"/>
  <c r="S74" i="1"/>
  <c r="S79" i="1"/>
  <c r="S72" i="1"/>
  <c r="S53" i="1"/>
  <c r="S60" i="1"/>
  <c r="I104" i="1"/>
  <c r="I99" i="1" s="1"/>
  <c r="I100" i="1" s="1"/>
  <c r="HK98" i="1"/>
  <c r="HL98" i="1" s="1"/>
  <c r="HM98" i="1" s="1"/>
  <c r="HN98" i="1" s="1"/>
  <c r="HO98" i="1" s="1"/>
  <c r="HP98" i="1" s="1"/>
  <c r="HQ98" i="1" s="1"/>
  <c r="HR98" i="1" s="1"/>
  <c r="HS98" i="1" s="1"/>
  <c r="HT98" i="1" s="1"/>
  <c r="HU98" i="1" s="1"/>
  <c r="HV98" i="1" s="1"/>
  <c r="T49" i="1"/>
  <c r="W121" i="1"/>
  <c r="T46" i="1"/>
  <c r="T61" i="1" s="1"/>
  <c r="T65" i="1" l="1"/>
  <c r="T66" i="1"/>
  <c r="W127" i="1"/>
  <c r="W131" i="1" s="1"/>
  <c r="U132" i="1"/>
  <c r="V132" i="1" s="1"/>
  <c r="V134" i="1" s="1"/>
  <c r="T79" i="1"/>
  <c r="T76" i="1"/>
  <c r="T74" i="1"/>
  <c r="T72" i="1"/>
  <c r="T53" i="1"/>
  <c r="T60" i="1"/>
  <c r="I108" i="1"/>
  <c r="I113" i="1" s="1"/>
  <c r="I114" i="1" s="1"/>
  <c r="I116" i="1" s="1"/>
  <c r="HW98" i="1"/>
  <c r="HX98" i="1" s="1"/>
  <c r="HY98" i="1" s="1"/>
  <c r="HZ98" i="1" s="1"/>
  <c r="IA98" i="1" s="1"/>
  <c r="IB98" i="1" s="1"/>
  <c r="IC98" i="1" s="1"/>
  <c r="ID98" i="1" s="1"/>
  <c r="IE98" i="1" s="1"/>
  <c r="IF98" i="1" s="1"/>
  <c r="IG98" i="1" s="1"/>
  <c r="IH98" i="1" s="1"/>
  <c r="U49" i="1"/>
  <c r="J103" i="1"/>
  <c r="J109" i="1" s="1"/>
  <c r="X121" i="1"/>
  <c r="U46" i="1"/>
  <c r="U61" i="1" s="1"/>
  <c r="U65" i="1" l="1"/>
  <c r="U66" i="1"/>
  <c r="X127" i="1"/>
  <c r="X131" i="1" s="1"/>
  <c r="W132" i="1"/>
  <c r="W134" i="1" s="1"/>
  <c r="U134" i="1"/>
  <c r="U79" i="1"/>
  <c r="U76" i="1"/>
  <c r="U74" i="1"/>
  <c r="U72" i="1"/>
  <c r="U53" i="1"/>
  <c r="U60" i="1"/>
  <c r="J104" i="1"/>
  <c r="J108" i="1" s="1"/>
  <c r="J113" i="1" s="1"/>
  <c r="J114" i="1" s="1"/>
  <c r="II113" i="1"/>
  <c r="II98" i="1"/>
  <c r="IJ98" i="1" s="1"/>
  <c r="IK98" i="1" s="1"/>
  <c r="IL98" i="1" s="1"/>
  <c r="IM98" i="1" s="1"/>
  <c r="IN98" i="1" s="1"/>
  <c r="IO98" i="1" s="1"/>
  <c r="IP98" i="1" s="1"/>
  <c r="IQ98" i="1" s="1"/>
  <c r="IR98" i="1" s="1"/>
  <c r="IS98" i="1" s="1"/>
  <c r="IT98" i="1" s="1"/>
  <c r="V49" i="1"/>
  <c r="Y121" i="1"/>
  <c r="V46" i="1"/>
  <c r="V61" i="1" s="1"/>
  <c r="V66" i="1" l="1"/>
  <c r="V65" i="1"/>
  <c r="Y127" i="1"/>
  <c r="Y131" i="1" s="1"/>
  <c r="J99" i="1"/>
  <c r="K103" i="1" s="1"/>
  <c r="K109" i="1" s="1"/>
  <c r="X132" i="1"/>
  <c r="X134" i="1" s="1"/>
  <c r="V76" i="1"/>
  <c r="V74" i="1"/>
  <c r="V79" i="1"/>
  <c r="V72" i="1"/>
  <c r="V53" i="1"/>
  <c r="V60" i="1"/>
  <c r="IJ113" i="1"/>
  <c r="IU98" i="1"/>
  <c r="IV98" i="1" s="1"/>
  <c r="IW98" i="1" s="1"/>
  <c r="IX98" i="1" s="1"/>
  <c r="IY98" i="1" s="1"/>
  <c r="IZ98" i="1" s="1"/>
  <c r="JA98" i="1" s="1"/>
  <c r="JB98" i="1" s="1"/>
  <c r="JC98" i="1" s="1"/>
  <c r="JD98" i="1" s="1"/>
  <c r="JE98" i="1" s="1"/>
  <c r="JF98" i="1" s="1"/>
  <c r="W49" i="1"/>
  <c r="Z121" i="1"/>
  <c r="W46" i="1"/>
  <c r="W61" i="1" s="1"/>
  <c r="W66" i="1" l="1"/>
  <c r="W65" i="1"/>
  <c r="J100" i="1"/>
  <c r="J116" i="1" s="1"/>
  <c r="Z127" i="1"/>
  <c r="K104" i="1"/>
  <c r="K108" i="1" s="1"/>
  <c r="K113" i="1" s="1"/>
  <c r="K114" i="1" s="1"/>
  <c r="Y132" i="1"/>
  <c r="Y134" i="1" s="1"/>
  <c r="W76" i="1"/>
  <c r="W74" i="1"/>
  <c r="W79" i="1"/>
  <c r="W72" i="1"/>
  <c r="W58" i="1"/>
  <c r="W57" i="1"/>
  <c r="IK113" i="1"/>
  <c r="W53" i="1"/>
  <c r="W54" i="1"/>
  <c r="W55" i="1"/>
  <c r="JG98" i="1"/>
  <c r="JH98" i="1" s="1"/>
  <c r="JI98" i="1" s="1"/>
  <c r="JJ98" i="1" s="1"/>
  <c r="JK98" i="1" s="1"/>
  <c r="JL98" i="1" s="1"/>
  <c r="JM98" i="1" s="1"/>
  <c r="JN98" i="1" s="1"/>
  <c r="JO98" i="1" s="1"/>
  <c r="JP98" i="1" s="1"/>
  <c r="JQ98" i="1" s="1"/>
  <c r="JR98" i="1" s="1"/>
  <c r="X49" i="1"/>
  <c r="AA121" i="1"/>
  <c r="Z131" i="1"/>
  <c r="K99" i="1"/>
  <c r="L103" i="1" s="1"/>
  <c r="X46" i="1"/>
  <c r="X61" i="1" s="1"/>
  <c r="X65" i="1" l="1"/>
  <c r="X66" i="1"/>
  <c r="AA127" i="1"/>
  <c r="Z132" i="1"/>
  <c r="Z134" i="1" s="1"/>
  <c r="X79" i="1"/>
  <c r="X76" i="1"/>
  <c r="X74" i="1"/>
  <c r="X72" i="1"/>
  <c r="X58" i="1"/>
  <c r="X57" i="1"/>
  <c r="IL113" i="1"/>
  <c r="X53" i="1"/>
  <c r="X54" i="1"/>
  <c r="X55" i="1"/>
  <c r="JS98" i="1"/>
  <c r="JT98" i="1" s="1"/>
  <c r="JU98" i="1" s="1"/>
  <c r="JV98" i="1" s="1"/>
  <c r="JW98" i="1" s="1"/>
  <c r="JX98" i="1" s="1"/>
  <c r="JY98" i="1" s="1"/>
  <c r="JZ98" i="1" s="1"/>
  <c r="KA98" i="1" s="1"/>
  <c r="KB98" i="1" s="1"/>
  <c r="KC98" i="1" s="1"/>
  <c r="KD98" i="1" s="1"/>
  <c r="Y49" i="1"/>
  <c r="AB121" i="1"/>
  <c r="K100" i="1"/>
  <c r="K116" i="1" s="1"/>
  <c r="Y46" i="1"/>
  <c r="Y61" i="1" s="1"/>
  <c r="L104" i="1"/>
  <c r="L109" i="1"/>
  <c r="Y65" i="1" l="1"/>
  <c r="Y66" i="1"/>
  <c r="AB127" i="1"/>
  <c r="AB131" i="1" s="1"/>
  <c r="AA131" i="1"/>
  <c r="Y79" i="1"/>
  <c r="Y76" i="1"/>
  <c r="Y74" i="1"/>
  <c r="Y72" i="1"/>
  <c r="Y58" i="1"/>
  <c r="Y57" i="1"/>
  <c r="IM113" i="1"/>
  <c r="Y53" i="1"/>
  <c r="Y54" i="1"/>
  <c r="Y55" i="1"/>
  <c r="KE98" i="1"/>
  <c r="KF98" i="1" s="1"/>
  <c r="KG98" i="1" s="1"/>
  <c r="KH98" i="1" s="1"/>
  <c r="KI98" i="1" s="1"/>
  <c r="KJ98" i="1" s="1"/>
  <c r="KK98" i="1" s="1"/>
  <c r="KL98" i="1" s="1"/>
  <c r="KM98" i="1" s="1"/>
  <c r="KN98" i="1" s="1"/>
  <c r="KO98" i="1" s="1"/>
  <c r="KP98" i="1" s="1"/>
  <c r="Z49" i="1"/>
  <c r="AC121" i="1"/>
  <c r="L99" i="1"/>
  <c r="M103" i="1" s="1"/>
  <c r="L108" i="1"/>
  <c r="L113" i="1" s="1"/>
  <c r="L114" i="1" s="1"/>
  <c r="Z46" i="1"/>
  <c r="Z61" i="1" s="1"/>
  <c r="Z66" i="1" l="1"/>
  <c r="Z65" i="1"/>
  <c r="AC127" i="1"/>
  <c r="AA132" i="1"/>
  <c r="Z76" i="1"/>
  <c r="Z74" i="1"/>
  <c r="Z79" i="1"/>
  <c r="Z72" i="1"/>
  <c r="Z58" i="1"/>
  <c r="Z57" i="1"/>
  <c r="IN113" i="1"/>
  <c r="Z53" i="1"/>
  <c r="Z54" i="1"/>
  <c r="Z55" i="1"/>
  <c r="KQ98" i="1"/>
  <c r="KR98" i="1" s="1"/>
  <c r="KS98" i="1" s="1"/>
  <c r="KT98" i="1" s="1"/>
  <c r="KU98" i="1" s="1"/>
  <c r="KV98" i="1" s="1"/>
  <c r="KW98" i="1" s="1"/>
  <c r="KX98" i="1" s="1"/>
  <c r="KY98" i="1" s="1"/>
  <c r="KZ98" i="1" s="1"/>
  <c r="LA98" i="1" s="1"/>
  <c r="LB98" i="1" s="1"/>
  <c r="AA49" i="1"/>
  <c r="AD121" i="1"/>
  <c r="L100" i="1"/>
  <c r="L116" i="1" s="1"/>
  <c r="M104" i="1"/>
  <c r="M109" i="1"/>
  <c r="AA46" i="1"/>
  <c r="AA61" i="1" s="1"/>
  <c r="AA66" i="1" l="1"/>
  <c r="AA65" i="1"/>
  <c r="AD127" i="1"/>
  <c r="AA134" i="1"/>
  <c r="AB132" i="1"/>
  <c r="AB134" i="1" s="1"/>
  <c r="AC131" i="1"/>
  <c r="AA76" i="1"/>
  <c r="AA74" i="1"/>
  <c r="AA79" i="1"/>
  <c r="AA72" i="1"/>
  <c r="AA58" i="1"/>
  <c r="AA57" i="1"/>
  <c r="IO113" i="1"/>
  <c r="AA53" i="1"/>
  <c r="AA54" i="1"/>
  <c r="AA55" i="1"/>
  <c r="LC98" i="1"/>
  <c r="LD98" i="1" s="1"/>
  <c r="LE98" i="1" s="1"/>
  <c r="LF98" i="1" s="1"/>
  <c r="LG98" i="1" s="1"/>
  <c r="LH98" i="1" s="1"/>
  <c r="LI98" i="1" s="1"/>
  <c r="LJ98" i="1" s="1"/>
  <c r="LK98" i="1" s="1"/>
  <c r="LL98" i="1" s="1"/>
  <c r="LM98" i="1" s="1"/>
  <c r="LN98" i="1" s="1"/>
  <c r="AB49" i="1"/>
  <c r="AE121" i="1"/>
  <c r="M99" i="1"/>
  <c r="N103" i="1" s="1"/>
  <c r="M108" i="1"/>
  <c r="M113" i="1" s="1"/>
  <c r="M114" i="1" s="1"/>
  <c r="AB46" i="1"/>
  <c r="AB61" i="1" s="1"/>
  <c r="AB65" i="1" l="1"/>
  <c r="AB66" i="1"/>
  <c r="AE127" i="1"/>
  <c r="AC132" i="1"/>
  <c r="AB79" i="1"/>
  <c r="AB76" i="1"/>
  <c r="AB74" i="1"/>
  <c r="AB72" i="1"/>
  <c r="AD131" i="1"/>
  <c r="AB58" i="1"/>
  <c r="AB57" i="1"/>
  <c r="IP113" i="1"/>
  <c r="AB53" i="1"/>
  <c r="AB54" i="1"/>
  <c r="AB55" i="1"/>
  <c r="LO98" i="1"/>
  <c r="LP98" i="1" s="1"/>
  <c r="LQ98" i="1" s="1"/>
  <c r="LR98" i="1" s="1"/>
  <c r="LS98" i="1" s="1"/>
  <c r="LT98" i="1" s="1"/>
  <c r="LU98" i="1" s="1"/>
  <c r="LV98" i="1" s="1"/>
  <c r="LW98" i="1" s="1"/>
  <c r="LX98" i="1" s="1"/>
  <c r="LY98" i="1" s="1"/>
  <c r="LZ98" i="1" s="1"/>
  <c r="AC49" i="1"/>
  <c r="AF121" i="1"/>
  <c r="AE131" i="1"/>
  <c r="M100" i="1"/>
  <c r="M116" i="1" s="1"/>
  <c r="AC46" i="1"/>
  <c r="AC61" i="1" s="1"/>
  <c r="N104" i="1"/>
  <c r="N109" i="1"/>
  <c r="AC65" i="1" l="1"/>
  <c r="AC66" i="1"/>
  <c r="AF127" i="1"/>
  <c r="AF131" i="1" s="1"/>
  <c r="AD132" i="1"/>
  <c r="AD134" i="1" s="1"/>
  <c r="AC134" i="1"/>
  <c r="AC79" i="1"/>
  <c r="AC76" i="1"/>
  <c r="AC74" i="1"/>
  <c r="AC72" i="1"/>
  <c r="AC58" i="1"/>
  <c r="AC57" i="1"/>
  <c r="IQ113" i="1"/>
  <c r="AC53" i="1"/>
  <c r="AC54" i="1"/>
  <c r="AC55" i="1"/>
  <c r="MA98" i="1"/>
  <c r="MB98" i="1" s="1"/>
  <c r="MC98" i="1" s="1"/>
  <c r="MD98" i="1" s="1"/>
  <c r="ME98" i="1" s="1"/>
  <c r="MF98" i="1" s="1"/>
  <c r="MG98" i="1" s="1"/>
  <c r="MH98" i="1" s="1"/>
  <c r="MI98" i="1" s="1"/>
  <c r="MJ98" i="1" s="1"/>
  <c r="MK98" i="1" s="1"/>
  <c r="ML98" i="1" s="1"/>
  <c r="AD49" i="1"/>
  <c r="AG121" i="1"/>
  <c r="N99" i="1"/>
  <c r="N108" i="1"/>
  <c r="N113" i="1" s="1"/>
  <c r="N114" i="1" s="1"/>
  <c r="AD46" i="1"/>
  <c r="AD61" i="1" s="1"/>
  <c r="AD66" i="1" l="1"/>
  <c r="AD65" i="1"/>
  <c r="AG127" i="1"/>
  <c r="AG131" i="1" s="1"/>
  <c r="AE132" i="1"/>
  <c r="AE134" i="1" s="1"/>
  <c r="AD76" i="1"/>
  <c r="AD79" i="1"/>
  <c r="AD74" i="1"/>
  <c r="AD72" i="1"/>
  <c r="AD58" i="1"/>
  <c r="AD57" i="1"/>
  <c r="IR113" i="1"/>
  <c r="AD53" i="1"/>
  <c r="AD54" i="1"/>
  <c r="AD55" i="1"/>
  <c r="MM98" i="1"/>
  <c r="MN98" i="1" s="1"/>
  <c r="MO98" i="1" s="1"/>
  <c r="MP98" i="1" s="1"/>
  <c r="MQ98" i="1" s="1"/>
  <c r="MR98" i="1" s="1"/>
  <c r="MS98" i="1" s="1"/>
  <c r="MT98" i="1" s="1"/>
  <c r="MU98" i="1" s="1"/>
  <c r="MV98" i="1" s="1"/>
  <c r="MW98" i="1" s="1"/>
  <c r="MX98" i="1" s="1"/>
  <c r="AE49" i="1"/>
  <c r="O103" i="1"/>
  <c r="O104" i="1" s="1"/>
  <c r="C50" i="1"/>
  <c r="AH121" i="1"/>
  <c r="N100" i="1"/>
  <c r="AE46" i="1"/>
  <c r="AE61" i="1" s="1"/>
  <c r="AE66" i="1" l="1"/>
  <c r="AE65" i="1"/>
  <c r="AH127" i="1"/>
  <c r="AH131" i="1" s="1"/>
  <c r="AF132" i="1"/>
  <c r="AF134" i="1" s="1"/>
  <c r="AE76" i="1"/>
  <c r="AE74" i="1"/>
  <c r="AE79" i="1"/>
  <c r="AE72" i="1"/>
  <c r="O109" i="1"/>
  <c r="AE58" i="1"/>
  <c r="AE57" i="1"/>
  <c r="IS113" i="1"/>
  <c r="AE53" i="1"/>
  <c r="AE54" i="1"/>
  <c r="AE55" i="1"/>
  <c r="MY98" i="1"/>
  <c r="MZ98" i="1" s="1"/>
  <c r="NA98" i="1" s="1"/>
  <c r="NB98" i="1" s="1"/>
  <c r="NC98" i="1" s="1"/>
  <c r="ND98" i="1" s="1"/>
  <c r="NE98" i="1" s="1"/>
  <c r="NF98" i="1" s="1"/>
  <c r="NG98" i="1" s="1"/>
  <c r="NH98" i="1" s="1"/>
  <c r="NI98" i="1" s="1"/>
  <c r="NJ98" i="1" s="1"/>
  <c r="AF49" i="1"/>
  <c r="N116" i="1"/>
  <c r="C51" i="1"/>
  <c r="AI121" i="1"/>
  <c r="O99" i="1"/>
  <c r="P103" i="1" s="1"/>
  <c r="O108" i="1"/>
  <c r="AF46" i="1"/>
  <c r="AF61" i="1" s="1"/>
  <c r="AF65" i="1" l="1"/>
  <c r="AF66" i="1"/>
  <c r="AI127" i="1"/>
  <c r="AG132" i="1"/>
  <c r="AG134" i="1" s="1"/>
  <c r="AF79" i="1"/>
  <c r="AF76" i="1"/>
  <c r="AF74" i="1"/>
  <c r="AF72" i="1"/>
  <c r="AF58" i="1"/>
  <c r="AF57" i="1"/>
  <c r="O113" i="1"/>
  <c r="IT113" i="1"/>
  <c r="AF53" i="1"/>
  <c r="AF54" i="1"/>
  <c r="AF55" i="1"/>
  <c r="NK98" i="1"/>
  <c r="NL98" i="1" s="1"/>
  <c r="NM98" i="1" s="1"/>
  <c r="NN98" i="1" s="1"/>
  <c r="NO98" i="1" s="1"/>
  <c r="NP98" i="1" s="1"/>
  <c r="NQ98" i="1" s="1"/>
  <c r="NR98" i="1" s="1"/>
  <c r="NS98" i="1" s="1"/>
  <c r="NT98" i="1" s="1"/>
  <c r="NU98" i="1" s="1"/>
  <c r="NV98" i="1" s="1"/>
  <c r="AG49" i="1"/>
  <c r="AJ121" i="1"/>
  <c r="AI131" i="1"/>
  <c r="O100" i="1"/>
  <c r="AG46" i="1"/>
  <c r="P104" i="1"/>
  <c r="P109" i="1"/>
  <c r="AG66" i="1" l="1"/>
  <c r="AG65" i="1"/>
  <c r="AJ127" i="1"/>
  <c r="AJ131" i="1" s="1"/>
  <c r="AG84" i="1"/>
  <c r="AG61" i="1"/>
  <c r="AH132" i="1"/>
  <c r="AH134" i="1" s="1"/>
  <c r="O114" i="1"/>
  <c r="O116" i="1" s="1"/>
  <c r="AG79" i="1"/>
  <c r="AG74" i="1"/>
  <c r="AG76" i="1"/>
  <c r="AG72" i="1"/>
  <c r="AG58" i="1"/>
  <c r="AG57" i="1"/>
  <c r="IU113" i="1"/>
  <c r="AG53" i="1"/>
  <c r="AG54" i="1"/>
  <c r="AG55" i="1"/>
  <c r="NW98" i="1"/>
  <c r="NX98" i="1" s="1"/>
  <c r="NY98" i="1" s="1"/>
  <c r="NZ98" i="1" s="1"/>
  <c r="OA98" i="1" s="1"/>
  <c r="OB98" i="1" s="1"/>
  <c r="OC98" i="1" s="1"/>
  <c r="OD98" i="1" s="1"/>
  <c r="OE98" i="1" s="1"/>
  <c r="OF98" i="1" s="1"/>
  <c r="OG98" i="1" s="1"/>
  <c r="OH98" i="1" s="1"/>
  <c r="AH49" i="1"/>
  <c r="AK121" i="1"/>
  <c r="P99" i="1"/>
  <c r="Q103" i="1" s="1"/>
  <c r="P108" i="1"/>
  <c r="AH46" i="1"/>
  <c r="AH66" i="1" l="1"/>
  <c r="AH65" i="1"/>
  <c r="AK127" i="1"/>
  <c r="AK131" i="1" s="1"/>
  <c r="AH84" i="1"/>
  <c r="AH61" i="1"/>
  <c r="AI132" i="1"/>
  <c r="AI134" i="1" s="1"/>
  <c r="AH76" i="1"/>
  <c r="AH79" i="1"/>
  <c r="AH74" i="1"/>
  <c r="AH72" i="1"/>
  <c r="P113" i="1"/>
  <c r="AH58" i="1"/>
  <c r="AH57" i="1"/>
  <c r="IV113" i="1"/>
  <c r="AH53" i="1"/>
  <c r="AH54" i="1"/>
  <c r="AH55" i="1"/>
  <c r="OI98" i="1"/>
  <c r="OJ98" i="1" s="1"/>
  <c r="OK98" i="1" s="1"/>
  <c r="OL98" i="1" s="1"/>
  <c r="OM98" i="1" s="1"/>
  <c r="ON98" i="1" s="1"/>
  <c r="OO98" i="1" s="1"/>
  <c r="OP98" i="1" s="1"/>
  <c r="OQ98" i="1" s="1"/>
  <c r="OR98" i="1" s="1"/>
  <c r="OS98" i="1" s="1"/>
  <c r="OT98" i="1" s="1"/>
  <c r="AI49" i="1"/>
  <c r="P100" i="1"/>
  <c r="AL121" i="1"/>
  <c r="Q104" i="1"/>
  <c r="Q109" i="1"/>
  <c r="AI46" i="1"/>
  <c r="AI66" i="1" l="1"/>
  <c r="AI65" i="1"/>
  <c r="AL127" i="1"/>
  <c r="AL131" i="1" s="1"/>
  <c r="AI84" i="1"/>
  <c r="AI61" i="1"/>
  <c r="AJ132" i="1"/>
  <c r="AJ134" i="1" s="1"/>
  <c r="P114" i="1"/>
  <c r="P116" i="1" s="1"/>
  <c r="AI76" i="1"/>
  <c r="AI74" i="1"/>
  <c r="AI79" i="1"/>
  <c r="AI72" i="1"/>
  <c r="AI58" i="1"/>
  <c r="AI57" i="1"/>
  <c r="IW113" i="1"/>
  <c r="AI53" i="1"/>
  <c r="AI54" i="1"/>
  <c r="AI55" i="1"/>
  <c r="OU98" i="1"/>
  <c r="OV98" i="1" s="1"/>
  <c r="OW98" i="1" s="1"/>
  <c r="OX98" i="1" s="1"/>
  <c r="OY98" i="1" s="1"/>
  <c r="OZ98" i="1" s="1"/>
  <c r="PA98" i="1" s="1"/>
  <c r="PB98" i="1" s="1"/>
  <c r="PC98" i="1" s="1"/>
  <c r="PD98" i="1" s="1"/>
  <c r="PE98" i="1" s="1"/>
  <c r="PF98" i="1" s="1"/>
  <c r="AK49" i="1" s="1"/>
  <c r="AJ49" i="1"/>
  <c r="AM121" i="1"/>
  <c r="Q99" i="1"/>
  <c r="Q100" i="1" s="1"/>
  <c r="Q108" i="1"/>
  <c r="AJ46" i="1"/>
  <c r="AK65" i="1" l="1"/>
  <c r="AK66" i="1"/>
  <c r="AJ65" i="1"/>
  <c r="AJ66" i="1"/>
  <c r="AM127" i="1"/>
  <c r="AJ84" i="1"/>
  <c r="AJ61" i="1"/>
  <c r="AK132" i="1"/>
  <c r="AK134" i="1" s="1"/>
  <c r="AJ79" i="1"/>
  <c r="AJ76" i="1"/>
  <c r="AJ74" i="1"/>
  <c r="AJ72" i="1"/>
  <c r="Q113" i="1"/>
  <c r="AJ58" i="1"/>
  <c r="AJ57" i="1"/>
  <c r="IX113" i="1"/>
  <c r="AJ53" i="1"/>
  <c r="AJ54" i="1"/>
  <c r="AJ55" i="1"/>
  <c r="R103" i="1"/>
  <c r="AN121" i="1"/>
  <c r="AK46" i="1"/>
  <c r="AN127" i="1" l="1"/>
  <c r="AK84" i="1"/>
  <c r="AK61" i="1"/>
  <c r="AL132" i="1"/>
  <c r="AL134" i="1" s="1"/>
  <c r="Q114" i="1"/>
  <c r="Q116" i="1" s="1"/>
  <c r="AK79" i="1"/>
  <c r="AK74" i="1"/>
  <c r="AK76" i="1"/>
  <c r="AK72" i="1"/>
  <c r="AM131" i="1"/>
  <c r="AK58" i="1"/>
  <c r="AK57" i="1"/>
  <c r="IY113" i="1"/>
  <c r="AK53" i="1"/>
  <c r="AK54" i="1"/>
  <c r="AK55" i="1"/>
  <c r="R104" i="1"/>
  <c r="R108" i="1" s="1"/>
  <c r="R109" i="1"/>
  <c r="AO121" i="1"/>
  <c r="AN131" i="1"/>
  <c r="R99" i="1"/>
  <c r="S103" i="1" s="1"/>
  <c r="AO127" i="1" l="1"/>
  <c r="AM132" i="1"/>
  <c r="AN132" i="1" s="1"/>
  <c r="AN134" i="1" s="1"/>
  <c r="IZ113" i="1"/>
  <c r="R113" i="1"/>
  <c r="AP121" i="1"/>
  <c r="R100" i="1"/>
  <c r="S104" i="1"/>
  <c r="S109" i="1"/>
  <c r="AP127" i="1" l="1"/>
  <c r="AM134" i="1"/>
  <c r="R114" i="1"/>
  <c r="R116" i="1" s="1"/>
  <c r="AO131" i="1"/>
  <c r="AP131" i="1"/>
  <c r="JA113" i="1"/>
  <c r="AQ121" i="1"/>
  <c r="S99" i="1"/>
  <c r="T103" i="1" s="1"/>
  <c r="S108" i="1"/>
  <c r="S113" i="1" s="1"/>
  <c r="AQ127" i="1" l="1"/>
  <c r="S114" i="1"/>
  <c r="AO132" i="1"/>
  <c r="AP132" i="1" s="1"/>
  <c r="AP134" i="1" s="1"/>
  <c r="JB113" i="1"/>
  <c r="AR121" i="1"/>
  <c r="S100" i="1"/>
  <c r="T104" i="1"/>
  <c r="T109" i="1"/>
  <c r="AR127" i="1" l="1"/>
  <c r="AR131" i="1" s="1"/>
  <c r="S116" i="1"/>
  <c r="AO134" i="1"/>
  <c r="AQ131" i="1"/>
  <c r="JC113" i="1"/>
  <c r="AS121" i="1"/>
  <c r="T99" i="1"/>
  <c r="U103" i="1" s="1"/>
  <c r="T108" i="1"/>
  <c r="T113" i="1" s="1"/>
  <c r="AS127" i="1" l="1"/>
  <c r="AQ132" i="1"/>
  <c r="T114" i="1"/>
  <c r="JD113" i="1"/>
  <c r="AT121" i="1"/>
  <c r="T100" i="1"/>
  <c r="U104" i="1"/>
  <c r="U109" i="1"/>
  <c r="AT127" i="1" l="1"/>
  <c r="AT131" i="1" s="1"/>
  <c r="T116" i="1"/>
  <c r="AQ134" i="1"/>
  <c r="AR132" i="1"/>
  <c r="AR134" i="1" s="1"/>
  <c r="AS131" i="1"/>
  <c r="JE113" i="1"/>
  <c r="AU121" i="1"/>
  <c r="U99" i="1"/>
  <c r="V103" i="1" s="1"/>
  <c r="U108" i="1"/>
  <c r="U113" i="1" s="1"/>
  <c r="U114" i="1" s="1"/>
  <c r="AU127" i="1" l="1"/>
  <c r="AU131" i="1" s="1"/>
  <c r="AS132" i="1"/>
  <c r="AT132" i="1" s="1"/>
  <c r="AT134" i="1" s="1"/>
  <c r="JF113" i="1"/>
  <c r="AV121" i="1"/>
  <c r="U100" i="1"/>
  <c r="U116" i="1" s="1"/>
  <c r="V104" i="1"/>
  <c r="V109" i="1"/>
  <c r="AV127" i="1" l="1"/>
  <c r="AV131" i="1" s="1"/>
  <c r="AU132" i="1"/>
  <c r="AU134" i="1" s="1"/>
  <c r="AS134" i="1"/>
  <c r="JG113" i="1"/>
  <c r="AW121" i="1"/>
  <c r="V99" i="1"/>
  <c r="V100" i="1" s="1"/>
  <c r="V108" i="1"/>
  <c r="V113" i="1" s="1"/>
  <c r="V114" i="1" s="1"/>
  <c r="AW127" i="1" l="1"/>
  <c r="AW131" i="1" s="1"/>
  <c r="AV132" i="1"/>
  <c r="AV134" i="1" s="1"/>
  <c r="JH113" i="1"/>
  <c r="V116" i="1"/>
  <c r="AX121" i="1"/>
  <c r="W103" i="1"/>
  <c r="W104" i="1" s="1"/>
  <c r="AX127" i="1" l="1"/>
  <c r="AX131" i="1" s="1"/>
  <c r="W109" i="1"/>
  <c r="AW132" i="1"/>
  <c r="AW134" i="1" s="1"/>
  <c r="JI113" i="1"/>
  <c r="AY121" i="1"/>
  <c r="W99" i="1"/>
  <c r="X103" i="1" s="1"/>
  <c r="W108" i="1"/>
  <c r="AY127" i="1" l="1"/>
  <c r="W113" i="1"/>
  <c r="W114" i="1" s="1"/>
  <c r="AX132" i="1"/>
  <c r="JJ113" i="1"/>
  <c r="AZ121" i="1"/>
  <c r="W100" i="1"/>
  <c r="X104" i="1"/>
  <c r="X109" i="1"/>
  <c r="AZ127" i="1" l="1"/>
  <c r="AZ131" i="1" s="1"/>
  <c r="W116" i="1"/>
  <c r="AX134" i="1"/>
  <c r="AY131" i="1"/>
  <c r="JK113" i="1"/>
  <c r="BA121" i="1"/>
  <c r="X99" i="1"/>
  <c r="Y103" i="1" s="1"/>
  <c r="X108" i="1"/>
  <c r="X113" i="1" s="1"/>
  <c r="X114" i="1" s="1"/>
  <c r="BA127" i="1" l="1"/>
  <c r="AY132" i="1"/>
  <c r="AZ132" i="1" s="1"/>
  <c r="AZ134" i="1" s="1"/>
  <c r="JL113" i="1"/>
  <c r="BB121" i="1"/>
  <c r="X100" i="1"/>
  <c r="X116" i="1" s="1"/>
  <c r="Y104" i="1"/>
  <c r="Y109" i="1"/>
  <c r="BB127" i="1" l="1"/>
  <c r="BB131" i="1" s="1"/>
  <c r="AY134" i="1"/>
  <c r="BA131" i="1"/>
  <c r="JM113" i="1"/>
  <c r="BC121" i="1"/>
  <c r="Y99" i="1"/>
  <c r="Z103" i="1" s="1"/>
  <c r="Y108" i="1"/>
  <c r="Y113" i="1" s="1"/>
  <c r="Y114" i="1" s="1"/>
  <c r="BC127" i="1" l="1"/>
  <c r="BA132" i="1"/>
  <c r="BB132" i="1" s="1"/>
  <c r="BB134" i="1" s="1"/>
  <c r="JN113" i="1"/>
  <c r="BD121" i="1"/>
  <c r="Y100" i="1"/>
  <c r="Y116" i="1" s="1"/>
  <c r="Z104" i="1"/>
  <c r="Z109" i="1"/>
  <c r="BD127" i="1" l="1"/>
  <c r="BD131" i="1" s="1"/>
  <c r="BA134" i="1"/>
  <c r="BC131" i="1"/>
  <c r="JO113" i="1"/>
  <c r="BE121" i="1"/>
  <c r="Z99" i="1"/>
  <c r="Z108" i="1"/>
  <c r="Z113" i="1" s="1"/>
  <c r="Z114" i="1" s="1"/>
  <c r="BE127" i="1" l="1"/>
  <c r="BC132" i="1"/>
  <c r="BD132" i="1" s="1"/>
  <c r="BD134" i="1" s="1"/>
  <c r="JP113" i="1"/>
  <c r="AA103" i="1"/>
  <c r="AA109" i="1" s="1"/>
  <c r="D50" i="1"/>
  <c r="BF121" i="1"/>
  <c r="Z100" i="1"/>
  <c r="BF127" i="1" l="1"/>
  <c r="BF131" i="1" s="1"/>
  <c r="BC134" i="1"/>
  <c r="BE131" i="1"/>
  <c r="JQ113" i="1"/>
  <c r="AA104" i="1"/>
  <c r="AA108" i="1" s="1"/>
  <c r="Z116" i="1"/>
  <c r="D51" i="1"/>
  <c r="BG121" i="1"/>
  <c r="BG127" i="1" l="1"/>
  <c r="BG131" i="1" s="1"/>
  <c r="BE132" i="1"/>
  <c r="AA99" i="1"/>
  <c r="AB103" i="1" s="1"/>
  <c r="AB104" i="1" s="1"/>
  <c r="AA113" i="1"/>
  <c r="JR113" i="1"/>
  <c r="BH121" i="1"/>
  <c r="BH127" i="1" l="1"/>
  <c r="BH131" i="1" s="1"/>
  <c r="AB109" i="1"/>
  <c r="BE134" i="1"/>
  <c r="BF132" i="1"/>
  <c r="BF134" i="1" s="1"/>
  <c r="AA114" i="1"/>
  <c r="AA100" i="1"/>
  <c r="JS113" i="1"/>
  <c r="BI121" i="1"/>
  <c r="AB99" i="1"/>
  <c r="AC103" i="1" s="1"/>
  <c r="AB108" i="1"/>
  <c r="BI127" i="1" l="1"/>
  <c r="BI131" i="1" s="1"/>
  <c r="AA116" i="1"/>
  <c r="BG132" i="1"/>
  <c r="AB113" i="1"/>
  <c r="JT113" i="1"/>
  <c r="BJ121" i="1"/>
  <c r="AB100" i="1"/>
  <c r="AC104" i="1"/>
  <c r="AC109" i="1"/>
  <c r="BJ127" i="1" l="1"/>
  <c r="BJ131" i="1" s="1"/>
  <c r="BG134" i="1"/>
  <c r="BH132" i="1"/>
  <c r="BH134" i="1" s="1"/>
  <c r="AB114" i="1"/>
  <c r="AB116" i="1" s="1"/>
  <c r="JU113" i="1"/>
  <c r="BK121" i="1"/>
  <c r="AC99" i="1"/>
  <c r="AD103" i="1" s="1"/>
  <c r="AC108" i="1"/>
  <c r="BK127" i="1" l="1"/>
  <c r="BI132" i="1"/>
  <c r="BI134" i="1" s="1"/>
  <c r="AC113" i="1"/>
  <c r="JV113" i="1"/>
  <c r="BL121" i="1"/>
  <c r="AC100" i="1"/>
  <c r="AD104" i="1"/>
  <c r="AD109" i="1"/>
  <c r="BL127" i="1" l="1"/>
  <c r="BL131" i="1" s="1"/>
  <c r="BJ132" i="1"/>
  <c r="BJ134" i="1" s="1"/>
  <c r="AC114" i="1"/>
  <c r="AC116" i="1" s="1"/>
  <c r="BK131" i="1"/>
  <c r="JW113" i="1"/>
  <c r="BM121" i="1"/>
  <c r="AD99" i="1"/>
  <c r="AE103" i="1" s="1"/>
  <c r="AD108" i="1"/>
  <c r="BM127" i="1" l="1"/>
  <c r="BK132" i="1"/>
  <c r="AD113" i="1"/>
  <c r="JX113" i="1"/>
  <c r="BN121" i="1"/>
  <c r="AD100" i="1"/>
  <c r="AE104" i="1"/>
  <c r="AE109" i="1"/>
  <c r="BN127" i="1" l="1"/>
  <c r="BN131" i="1" s="1"/>
  <c r="BK134" i="1"/>
  <c r="BL132" i="1"/>
  <c r="BL134" i="1" s="1"/>
  <c r="AD114" i="1"/>
  <c r="AD116" i="1" s="1"/>
  <c r="BM131" i="1"/>
  <c r="JY113" i="1"/>
  <c r="BO121" i="1"/>
  <c r="AE99" i="1"/>
  <c r="AF103" i="1" s="1"/>
  <c r="AE108" i="1"/>
  <c r="AE113" i="1" s="1"/>
  <c r="BO127" i="1" l="1"/>
  <c r="AE114" i="1"/>
  <c r="BM132" i="1"/>
  <c r="JZ113" i="1"/>
  <c r="BP121" i="1"/>
  <c r="AE100" i="1"/>
  <c r="AF104" i="1"/>
  <c r="AF109" i="1"/>
  <c r="BP127" i="1" l="1"/>
  <c r="BP131" i="1" s="1"/>
  <c r="AE116" i="1"/>
  <c r="BM134" i="1"/>
  <c r="BN132" i="1"/>
  <c r="BN134" i="1" s="1"/>
  <c r="BO131" i="1"/>
  <c r="KA113" i="1"/>
  <c r="BQ121" i="1"/>
  <c r="AF99" i="1"/>
  <c r="AG103" i="1" s="1"/>
  <c r="AF108" i="1"/>
  <c r="AF113" i="1" s="1"/>
  <c r="BQ127" i="1" l="1"/>
  <c r="BO132" i="1"/>
  <c r="AF114" i="1"/>
  <c r="KB113" i="1"/>
  <c r="BR121" i="1"/>
  <c r="AF100" i="1"/>
  <c r="AG104" i="1"/>
  <c r="AG109" i="1"/>
  <c r="BR127" i="1" l="1"/>
  <c r="BR131" i="1" s="1"/>
  <c r="BO134" i="1"/>
  <c r="AF116" i="1"/>
  <c r="BP132" i="1"/>
  <c r="BP134" i="1" s="1"/>
  <c r="BQ131" i="1"/>
  <c r="KC113" i="1"/>
  <c r="BS121" i="1"/>
  <c r="AG99" i="1"/>
  <c r="AH103" i="1" s="1"/>
  <c r="AG108" i="1"/>
  <c r="AG113" i="1" s="1"/>
  <c r="AG114" i="1" s="1"/>
  <c r="BS127" i="1" l="1"/>
  <c r="BS131" i="1" s="1"/>
  <c r="BQ132" i="1"/>
  <c r="BR132" i="1" s="1"/>
  <c r="BR134" i="1" s="1"/>
  <c r="KD113" i="1"/>
  <c r="BT121" i="1"/>
  <c r="AG100" i="1"/>
  <c r="AG116" i="1" s="1"/>
  <c r="AH104" i="1"/>
  <c r="AH109" i="1"/>
  <c r="BT127" i="1" l="1"/>
  <c r="BT131" i="1" s="1"/>
  <c r="BS132" i="1"/>
  <c r="BS134" i="1" s="1"/>
  <c r="BQ134" i="1"/>
  <c r="KE113" i="1"/>
  <c r="BU121" i="1"/>
  <c r="AH99" i="1"/>
  <c r="AI103" i="1" s="1"/>
  <c r="AH108" i="1"/>
  <c r="AH113" i="1" s="1"/>
  <c r="AH114" i="1" s="1"/>
  <c r="BU127" i="1" l="1"/>
  <c r="BU131" i="1" s="1"/>
  <c r="BT132" i="1"/>
  <c r="BT134" i="1" s="1"/>
  <c r="KF113" i="1"/>
  <c r="BV121" i="1"/>
  <c r="AH100" i="1"/>
  <c r="AH116" i="1" s="1"/>
  <c r="AI104" i="1"/>
  <c r="AI109" i="1"/>
  <c r="BV127" i="1" l="1"/>
  <c r="BV131" i="1" s="1"/>
  <c r="BU132" i="1"/>
  <c r="BU134" i="1" s="1"/>
  <c r="KG113" i="1"/>
  <c r="BW121" i="1"/>
  <c r="AI99" i="1"/>
  <c r="AJ103" i="1" s="1"/>
  <c r="AI108" i="1"/>
  <c r="AI113" i="1" s="1"/>
  <c r="AI114" i="1" s="1"/>
  <c r="BW127" i="1" l="1"/>
  <c r="BV132" i="1"/>
  <c r="KH113" i="1"/>
  <c r="BX121" i="1"/>
  <c r="AI100" i="1"/>
  <c r="AI116" i="1" s="1"/>
  <c r="AJ104" i="1"/>
  <c r="AJ109" i="1"/>
  <c r="BX127" i="1" l="1"/>
  <c r="BX131" i="1" s="1"/>
  <c r="BV134" i="1"/>
  <c r="BW131" i="1"/>
  <c r="KI113" i="1"/>
  <c r="BY121" i="1"/>
  <c r="AJ99" i="1"/>
  <c r="AJ100" i="1" s="1"/>
  <c r="AJ108" i="1"/>
  <c r="AJ113" i="1" s="1"/>
  <c r="AJ114" i="1" s="1"/>
  <c r="BY127" i="1" l="1"/>
  <c r="BW132" i="1"/>
  <c r="KJ113" i="1"/>
  <c r="AJ116" i="1"/>
  <c r="BZ121" i="1"/>
  <c r="AK103" i="1"/>
  <c r="AK104" i="1" s="1"/>
  <c r="BZ127" i="1" l="1"/>
  <c r="BZ131" i="1" s="1"/>
  <c r="BW134" i="1"/>
  <c r="BX132" i="1"/>
  <c r="BX134" i="1" s="1"/>
  <c r="BY131" i="1"/>
  <c r="KK113" i="1"/>
  <c r="CA121" i="1"/>
  <c r="AK109" i="1"/>
  <c r="AK99" i="1"/>
  <c r="AK100" i="1" s="1"/>
  <c r="AK108" i="1"/>
  <c r="CA127" i="1" l="1"/>
  <c r="CA131" i="1" s="1"/>
  <c r="BY132" i="1"/>
  <c r="KL113" i="1"/>
  <c r="AK113" i="1"/>
  <c r="AK114" i="1" s="1"/>
  <c r="AK116" i="1" s="1"/>
  <c r="CB121" i="1"/>
  <c r="AL103" i="1"/>
  <c r="AL104" i="1" s="1"/>
  <c r="CB127" i="1" l="1"/>
  <c r="CB131" i="1" s="1"/>
  <c r="BY134" i="1"/>
  <c r="BZ132" i="1"/>
  <c r="BZ134" i="1" s="1"/>
  <c r="KM113" i="1"/>
  <c r="AL109" i="1"/>
  <c r="CC121" i="1"/>
  <c r="AL99" i="1"/>
  <c r="AL108" i="1"/>
  <c r="CC127" i="1" l="1"/>
  <c r="CA132" i="1"/>
  <c r="CB132" i="1" s="1"/>
  <c r="CB134" i="1" s="1"/>
  <c r="KN113" i="1"/>
  <c r="AL100" i="1"/>
  <c r="E51" i="1" s="1"/>
  <c r="E50" i="1"/>
  <c r="AL113" i="1"/>
  <c r="AL114" i="1" s="1"/>
  <c r="CD121" i="1"/>
  <c r="CC131" i="1"/>
  <c r="AM103" i="1"/>
  <c r="CD127" i="1" l="1"/>
  <c r="CD131" i="1" s="1"/>
  <c r="CC132" i="1"/>
  <c r="CC134" i="1" s="1"/>
  <c r="CA134" i="1"/>
  <c r="KO113" i="1"/>
  <c r="AM104" i="1"/>
  <c r="AM99" i="1" s="1"/>
  <c r="AM100" i="1" s="1"/>
  <c r="AL116" i="1"/>
  <c r="AM109" i="1"/>
  <c r="CE121" i="1"/>
  <c r="CE127" i="1" l="1"/>
  <c r="CE131" i="1" s="1"/>
  <c r="CD132" i="1"/>
  <c r="CD134" i="1" s="1"/>
  <c r="AM108" i="1"/>
  <c r="AM113" i="1" s="1"/>
  <c r="KP113" i="1"/>
  <c r="CF121" i="1"/>
  <c r="AN103" i="1"/>
  <c r="CF127" i="1" l="1"/>
  <c r="CF131" i="1" s="1"/>
  <c r="CE132" i="1"/>
  <c r="CE134" i="1" s="1"/>
  <c r="AM114" i="1"/>
  <c r="AM116" i="1" s="1"/>
  <c r="KQ113" i="1"/>
  <c r="AN104" i="1"/>
  <c r="AN99" i="1" s="1"/>
  <c r="AN100" i="1" s="1"/>
  <c r="CG121" i="1"/>
  <c r="AN109" i="1"/>
  <c r="CG127" i="1" l="1"/>
  <c r="CG131" i="1" s="1"/>
  <c r="CF132" i="1"/>
  <c r="CF134" i="1" s="1"/>
  <c r="AN108" i="1"/>
  <c r="KR113" i="1"/>
  <c r="CH121" i="1"/>
  <c r="AO103" i="1"/>
  <c r="CH127" i="1" l="1"/>
  <c r="CH131" i="1" s="1"/>
  <c r="CG132" i="1"/>
  <c r="CG134" i="1" s="1"/>
  <c r="AN113" i="1"/>
  <c r="KS113" i="1"/>
  <c r="AO104" i="1"/>
  <c r="AO99" i="1" s="1"/>
  <c r="AO100" i="1" s="1"/>
  <c r="CI121" i="1"/>
  <c r="AO109" i="1"/>
  <c r="CI127" i="1" l="1"/>
  <c r="CH132" i="1"/>
  <c r="CH134" i="1" s="1"/>
  <c r="AO108" i="1"/>
  <c r="AO113" i="1" s="1"/>
  <c r="AN114" i="1"/>
  <c r="AN116" i="1" s="1"/>
  <c r="KT113" i="1"/>
  <c r="CJ121" i="1"/>
  <c r="AP103" i="1"/>
  <c r="CJ127" i="1" l="1"/>
  <c r="CJ131" i="1" s="1"/>
  <c r="AO114" i="1"/>
  <c r="AO116" i="1" s="1"/>
  <c r="CI131" i="1"/>
  <c r="KU113" i="1"/>
  <c r="AP109" i="1"/>
  <c r="AP104" i="1"/>
  <c r="AP108" i="1" s="1"/>
  <c r="CK121" i="1"/>
  <c r="CK127" i="1" l="1"/>
  <c r="CK131" i="1" s="1"/>
  <c r="CI132" i="1"/>
  <c r="KV113" i="1"/>
  <c r="AP113" i="1"/>
  <c r="AP99" i="1"/>
  <c r="AQ103" i="1" s="1"/>
  <c r="AQ104" i="1" s="1"/>
  <c r="CL121" i="1"/>
  <c r="CL127" i="1" l="1"/>
  <c r="CL131" i="1" s="1"/>
  <c r="AP100" i="1"/>
  <c r="CI134" i="1"/>
  <c r="CJ132" i="1"/>
  <c r="CJ134" i="1" s="1"/>
  <c r="AP114" i="1"/>
  <c r="KW113" i="1"/>
  <c r="AQ109" i="1"/>
  <c r="CM121" i="1"/>
  <c r="AQ99" i="1"/>
  <c r="AR103" i="1" s="1"/>
  <c r="AQ108" i="1"/>
  <c r="CM127" i="1" l="1"/>
  <c r="AP116" i="1"/>
  <c r="CK132" i="1"/>
  <c r="AQ113" i="1"/>
  <c r="AQ114" i="1" s="1"/>
  <c r="KX113" i="1"/>
  <c r="CN121" i="1"/>
  <c r="AQ100" i="1"/>
  <c r="AR104" i="1"/>
  <c r="AR109" i="1"/>
  <c r="CN127" i="1" l="1"/>
  <c r="CN131" i="1" s="1"/>
  <c r="CK134" i="1"/>
  <c r="AQ116" i="1"/>
  <c r="CL132" i="1"/>
  <c r="CL134" i="1" s="1"/>
  <c r="CM131" i="1"/>
  <c r="KY113" i="1"/>
  <c r="CO121" i="1"/>
  <c r="AR99" i="1"/>
  <c r="AS103" i="1" s="1"/>
  <c r="AR108" i="1"/>
  <c r="AR113" i="1" s="1"/>
  <c r="CO127" i="1" l="1"/>
  <c r="CO131" i="1" s="1"/>
  <c r="CM132" i="1"/>
  <c r="CN132" i="1" s="1"/>
  <c r="CN134" i="1" s="1"/>
  <c r="AR114" i="1"/>
  <c r="KZ113" i="1"/>
  <c r="CP121" i="1"/>
  <c r="AR100" i="1"/>
  <c r="AS104" i="1"/>
  <c r="AS109" i="1"/>
  <c r="CP127" i="1" l="1"/>
  <c r="CP131" i="1" s="1"/>
  <c r="AR116" i="1"/>
  <c r="CO132" i="1"/>
  <c r="CO134" i="1" s="1"/>
  <c r="CM134" i="1"/>
  <c r="LA113" i="1"/>
  <c r="CQ121" i="1"/>
  <c r="AS99" i="1"/>
  <c r="AT103" i="1" s="1"/>
  <c r="AS108" i="1"/>
  <c r="AS113" i="1" s="1"/>
  <c r="CQ127" i="1" l="1"/>
  <c r="CQ131" i="1" s="1"/>
  <c r="CP132" i="1"/>
  <c r="CP134" i="1" s="1"/>
  <c r="AS114" i="1"/>
  <c r="LB113" i="1"/>
  <c r="CR121" i="1"/>
  <c r="AS100" i="1"/>
  <c r="AT104" i="1"/>
  <c r="AT109" i="1"/>
  <c r="CR127" i="1" l="1"/>
  <c r="CR131" i="1" s="1"/>
  <c r="CQ132" i="1"/>
  <c r="CQ134" i="1" s="1"/>
  <c r="AS116" i="1"/>
  <c r="LC113" i="1"/>
  <c r="CS121" i="1"/>
  <c r="AT99" i="1"/>
  <c r="AU103" i="1" s="1"/>
  <c r="AT108" i="1"/>
  <c r="AT113" i="1" s="1"/>
  <c r="AT114" i="1" s="1"/>
  <c r="CS127" i="1" l="1"/>
  <c r="CS131" i="1" s="1"/>
  <c r="CR132" i="1"/>
  <c r="CR134" i="1" s="1"/>
  <c r="LD113" i="1"/>
  <c r="CT121" i="1"/>
  <c r="AT100" i="1"/>
  <c r="AT116" i="1" s="1"/>
  <c r="AU104" i="1"/>
  <c r="AU109" i="1"/>
  <c r="CT127" i="1" l="1"/>
  <c r="CT131" i="1" s="1"/>
  <c r="CS132" i="1"/>
  <c r="CS134" i="1" s="1"/>
  <c r="LE113" i="1"/>
  <c r="CU121" i="1"/>
  <c r="AU99" i="1"/>
  <c r="AV103" i="1" s="1"/>
  <c r="AU108" i="1"/>
  <c r="AU113" i="1" s="1"/>
  <c r="AU114" i="1" s="1"/>
  <c r="CU127" i="1" l="1"/>
  <c r="CT132" i="1"/>
  <c r="CT134" i="1" s="1"/>
  <c r="LF113" i="1"/>
  <c r="CV121" i="1"/>
  <c r="AU100" i="1"/>
  <c r="AU116" i="1" s="1"/>
  <c r="AV104" i="1"/>
  <c r="AV109" i="1"/>
  <c r="CV127" i="1" l="1"/>
  <c r="CV131" i="1" s="1"/>
  <c r="CU131" i="1"/>
  <c r="LG113" i="1"/>
  <c r="CW121" i="1"/>
  <c r="AV99" i="1"/>
  <c r="AW103" i="1" s="1"/>
  <c r="AV108" i="1"/>
  <c r="AV113" i="1" s="1"/>
  <c r="AV114" i="1" s="1"/>
  <c r="CW127" i="1" l="1"/>
  <c r="CU132" i="1"/>
  <c r="LH113" i="1"/>
  <c r="CX121" i="1"/>
  <c r="AV100" i="1"/>
  <c r="AV116" i="1" s="1"/>
  <c r="AW104" i="1"/>
  <c r="AW109" i="1"/>
  <c r="CX127" i="1" l="1"/>
  <c r="CX131" i="1" s="1"/>
  <c r="CU134" i="1"/>
  <c r="CV132" i="1"/>
  <c r="CV134" i="1" s="1"/>
  <c r="CW131" i="1"/>
  <c r="LI113" i="1"/>
  <c r="CY121" i="1"/>
  <c r="AW99" i="1"/>
  <c r="AX103" i="1" s="1"/>
  <c r="AW108" i="1"/>
  <c r="AW113" i="1" s="1"/>
  <c r="AW114" i="1" s="1"/>
  <c r="CY127" i="1" l="1"/>
  <c r="CY131" i="1" s="1"/>
  <c r="CW132" i="1"/>
  <c r="LJ113" i="1"/>
  <c r="CZ121" i="1"/>
  <c r="AW100" i="1"/>
  <c r="AW116" i="1" s="1"/>
  <c r="AX104" i="1"/>
  <c r="AX109" i="1"/>
  <c r="CZ127" i="1" l="1"/>
  <c r="CZ131" i="1" s="1"/>
  <c r="CW134" i="1"/>
  <c r="CX132" i="1"/>
  <c r="CX134" i="1" s="1"/>
  <c r="LK113" i="1"/>
  <c r="DA121" i="1"/>
  <c r="AX99" i="1"/>
  <c r="AX108" i="1"/>
  <c r="AX113" i="1" s="1"/>
  <c r="AX114" i="1" s="1"/>
  <c r="DA127" i="1" l="1"/>
  <c r="DA131" i="1" s="1"/>
  <c r="CY132" i="1"/>
  <c r="LL113" i="1"/>
  <c r="AY103" i="1"/>
  <c r="AY109" i="1" s="1"/>
  <c r="F50" i="1"/>
  <c r="DB121" i="1"/>
  <c r="AX100" i="1"/>
  <c r="DB127" i="1" l="1"/>
  <c r="DB131" i="1" s="1"/>
  <c r="CY134" i="1"/>
  <c r="CZ132" i="1"/>
  <c r="CZ134" i="1" s="1"/>
  <c r="LM113" i="1"/>
  <c r="AY104" i="1"/>
  <c r="AY108" i="1" s="1"/>
  <c r="AX116" i="1"/>
  <c r="F51" i="1"/>
  <c r="DC121" i="1"/>
  <c r="DC127" i="1" l="1"/>
  <c r="DC131" i="1" s="1"/>
  <c r="DA132" i="1"/>
  <c r="AY99" i="1"/>
  <c r="AZ103" i="1" s="1"/>
  <c r="AZ109" i="1" s="1"/>
  <c r="AY113" i="1"/>
  <c r="LN113" i="1"/>
  <c r="DD121" i="1"/>
  <c r="DD127" i="1" l="1"/>
  <c r="DD131" i="1" s="1"/>
  <c r="AZ104" i="1"/>
  <c r="AZ99" i="1" s="1"/>
  <c r="AZ100" i="1" s="1"/>
  <c r="AY100" i="1"/>
  <c r="DA134" i="1"/>
  <c r="DB132" i="1"/>
  <c r="DB134" i="1" s="1"/>
  <c r="AY114" i="1"/>
  <c r="LO113" i="1"/>
  <c r="DE121" i="1"/>
  <c r="DE127" i="1" l="1"/>
  <c r="DE131" i="1" s="1"/>
  <c r="AZ108" i="1"/>
  <c r="AZ113" i="1" s="1"/>
  <c r="AY116" i="1"/>
  <c r="DC132" i="1"/>
  <c r="DC134" i="1" s="1"/>
  <c r="LP113" i="1"/>
  <c r="DF121" i="1"/>
  <c r="BA103" i="1"/>
  <c r="DF127" i="1" l="1"/>
  <c r="DF131" i="1" s="1"/>
  <c r="DD132" i="1"/>
  <c r="DD134" i="1" s="1"/>
  <c r="AZ114" i="1"/>
  <c r="AZ116" i="1" s="1"/>
  <c r="LQ113" i="1"/>
  <c r="BA104" i="1"/>
  <c r="BA108" i="1" s="1"/>
  <c r="BA109" i="1"/>
  <c r="DG121" i="1"/>
  <c r="DG127" i="1" l="1"/>
  <c r="DE132" i="1"/>
  <c r="DE134" i="1" s="1"/>
  <c r="BA99" i="1"/>
  <c r="BB103" i="1" s="1"/>
  <c r="BB104" i="1" s="1"/>
  <c r="LR113" i="1"/>
  <c r="BA113" i="1"/>
  <c r="DH121" i="1"/>
  <c r="DH127" i="1" l="1"/>
  <c r="DH131" i="1" s="1"/>
  <c r="BB109" i="1"/>
  <c r="DF132" i="1"/>
  <c r="DF134" i="1" s="1"/>
  <c r="BA100" i="1"/>
  <c r="BA114" i="1"/>
  <c r="DG131" i="1"/>
  <c r="LS113" i="1"/>
  <c r="DI121" i="1"/>
  <c r="BB99" i="1"/>
  <c r="BC103" i="1" s="1"/>
  <c r="BB108" i="1"/>
  <c r="DI127" i="1" l="1"/>
  <c r="BB113" i="1"/>
  <c r="BB114" i="1" s="1"/>
  <c r="BA116" i="1"/>
  <c r="DG132" i="1"/>
  <c r="DH132" i="1" s="1"/>
  <c r="DH134" i="1" s="1"/>
  <c r="LT113" i="1"/>
  <c r="DJ121" i="1"/>
  <c r="BB100" i="1"/>
  <c r="BC104" i="1"/>
  <c r="BC109" i="1"/>
  <c r="DJ127" i="1" l="1"/>
  <c r="DJ131" i="1" s="1"/>
  <c r="BB116" i="1"/>
  <c r="DG134" i="1"/>
  <c r="DI131" i="1"/>
  <c r="LU113" i="1"/>
  <c r="DK121" i="1"/>
  <c r="BC99" i="1"/>
  <c r="BD103" i="1" s="1"/>
  <c r="BC108" i="1"/>
  <c r="BC113" i="1" s="1"/>
  <c r="DK127" i="1" l="1"/>
  <c r="DI132" i="1"/>
  <c r="BC114" i="1"/>
  <c r="LV113" i="1"/>
  <c r="DL121" i="1"/>
  <c r="BC100" i="1"/>
  <c r="BD104" i="1"/>
  <c r="BD109" i="1"/>
  <c r="DL127" i="1" l="1"/>
  <c r="DL131" i="1" s="1"/>
  <c r="DI134" i="1"/>
  <c r="BC116" i="1"/>
  <c r="DJ132" i="1"/>
  <c r="DJ134" i="1" s="1"/>
  <c r="DK131" i="1"/>
  <c r="LW113" i="1"/>
  <c r="DM121" i="1"/>
  <c r="BD99" i="1"/>
  <c r="BE103" i="1" s="1"/>
  <c r="BD108" i="1"/>
  <c r="BD113" i="1" s="1"/>
  <c r="DM127" i="1" l="1"/>
  <c r="DM131" i="1" s="1"/>
  <c r="DK132" i="1"/>
  <c r="DL132" i="1" s="1"/>
  <c r="DL134" i="1" s="1"/>
  <c r="BD114" i="1"/>
  <c r="LX113" i="1"/>
  <c r="DN121" i="1"/>
  <c r="BD100" i="1"/>
  <c r="BE104" i="1"/>
  <c r="BE109" i="1"/>
  <c r="DN127" i="1" l="1"/>
  <c r="DN131" i="1" s="1"/>
  <c r="BD116" i="1"/>
  <c r="DM132" i="1"/>
  <c r="DM134" i="1" s="1"/>
  <c r="DK134" i="1"/>
  <c r="LY113" i="1"/>
  <c r="DO121" i="1"/>
  <c r="BE99" i="1"/>
  <c r="BF103" i="1" s="1"/>
  <c r="BE108" i="1"/>
  <c r="BE113" i="1" s="1"/>
  <c r="BE114" i="1" s="1"/>
  <c r="DO127" i="1" l="1"/>
  <c r="DO131" i="1" s="1"/>
  <c r="DN132" i="1"/>
  <c r="DN134" i="1" s="1"/>
  <c r="LZ113" i="1"/>
  <c r="DP121" i="1"/>
  <c r="BE100" i="1"/>
  <c r="BE116" i="1" s="1"/>
  <c r="BF104" i="1"/>
  <c r="BF109" i="1"/>
  <c r="DP127" i="1" l="1"/>
  <c r="DP131" i="1" s="1"/>
  <c r="DO132" i="1"/>
  <c r="DO134" i="1" s="1"/>
  <c r="MA113" i="1"/>
  <c r="DQ121" i="1"/>
  <c r="BF99" i="1"/>
  <c r="BG103" i="1" s="1"/>
  <c r="BF108" i="1"/>
  <c r="BF113" i="1" s="1"/>
  <c r="BF114" i="1" s="1"/>
  <c r="DQ127" i="1" l="1"/>
  <c r="DQ131" i="1" s="1"/>
  <c r="DP132" i="1"/>
  <c r="DP134" i="1" s="1"/>
  <c r="MB113" i="1"/>
  <c r="DR121" i="1"/>
  <c r="BF100" i="1"/>
  <c r="BF116" i="1" s="1"/>
  <c r="BG104" i="1"/>
  <c r="BG109" i="1"/>
  <c r="DR127" i="1" l="1"/>
  <c r="DR131" i="1" s="1"/>
  <c r="DQ132" i="1"/>
  <c r="DQ134" i="1" s="1"/>
  <c r="MC113" i="1"/>
  <c r="DS121" i="1"/>
  <c r="BG99" i="1"/>
  <c r="BH103" i="1" s="1"/>
  <c r="BG108" i="1"/>
  <c r="BG113" i="1" s="1"/>
  <c r="BG114" i="1" s="1"/>
  <c r="DS127" i="1" l="1"/>
  <c r="DR132" i="1"/>
  <c r="DR134" i="1" s="1"/>
  <c r="MD113" i="1"/>
  <c r="DT121" i="1"/>
  <c r="BG100" i="1"/>
  <c r="BG116" i="1" s="1"/>
  <c r="BH104" i="1"/>
  <c r="BH109" i="1"/>
  <c r="DT127" i="1" l="1"/>
  <c r="DT131" i="1" s="1"/>
  <c r="DS131" i="1"/>
  <c r="ME113" i="1"/>
  <c r="DU121" i="1"/>
  <c r="BH99" i="1"/>
  <c r="BI103" i="1" s="1"/>
  <c r="BH108" i="1"/>
  <c r="BH113" i="1" s="1"/>
  <c r="BH114" i="1" s="1"/>
  <c r="DU127" i="1" l="1"/>
  <c r="DU131" i="1" s="1"/>
  <c r="DS132" i="1"/>
  <c r="MF113" i="1"/>
  <c r="DV121" i="1"/>
  <c r="BH100" i="1"/>
  <c r="BH116" i="1" s="1"/>
  <c r="BI104" i="1"/>
  <c r="BI109" i="1"/>
  <c r="DV127" i="1" l="1"/>
  <c r="DV131" i="1" s="1"/>
  <c r="DS134" i="1"/>
  <c r="DT132" i="1"/>
  <c r="DT134" i="1" s="1"/>
  <c r="MG113" i="1"/>
  <c r="DW121" i="1"/>
  <c r="BI99" i="1"/>
  <c r="BJ103" i="1" s="1"/>
  <c r="BI108" i="1"/>
  <c r="BI113" i="1" s="1"/>
  <c r="BI114" i="1" s="1"/>
  <c r="DW127" i="1" l="1"/>
  <c r="DU132" i="1"/>
  <c r="MH113" i="1"/>
  <c r="DX121" i="1"/>
  <c r="BI100" i="1"/>
  <c r="BI116" i="1" s="1"/>
  <c r="BJ104" i="1"/>
  <c r="BJ109" i="1"/>
  <c r="DX127" i="1" l="1"/>
  <c r="DX131" i="1" s="1"/>
  <c r="DU134" i="1"/>
  <c r="DV132" i="1"/>
  <c r="DV134" i="1" s="1"/>
  <c r="DW131" i="1"/>
  <c r="MI113" i="1"/>
  <c r="DY121" i="1"/>
  <c r="BJ99" i="1"/>
  <c r="BJ108" i="1"/>
  <c r="BJ113" i="1" s="1"/>
  <c r="BJ114" i="1" s="1"/>
  <c r="DY127" i="1" l="1"/>
  <c r="DY131" i="1" s="1"/>
  <c r="DW132" i="1"/>
  <c r="MJ113" i="1"/>
  <c r="BK103" i="1"/>
  <c r="BK109" i="1" s="1"/>
  <c r="G50" i="1"/>
  <c r="DZ121" i="1"/>
  <c r="BJ100" i="1"/>
  <c r="DZ127" i="1" l="1"/>
  <c r="DZ131" i="1" s="1"/>
  <c r="DW134" i="1"/>
  <c r="DX132" i="1"/>
  <c r="DX134" i="1" s="1"/>
  <c r="MK113" i="1"/>
  <c r="BK104" i="1"/>
  <c r="BK99" i="1" s="1"/>
  <c r="BL103" i="1" s="1"/>
  <c r="BJ116" i="1"/>
  <c r="G51" i="1"/>
  <c r="EA121" i="1"/>
  <c r="EA127" i="1" l="1"/>
  <c r="EA131" i="1" s="1"/>
  <c r="DY132" i="1"/>
  <c r="BK108" i="1"/>
  <c r="BK113" i="1" s="1"/>
  <c r="ML113" i="1"/>
  <c r="EB121" i="1"/>
  <c r="BK100" i="1"/>
  <c r="BL104" i="1"/>
  <c r="BL109" i="1"/>
  <c r="EB127" i="1" l="1"/>
  <c r="EB131" i="1" s="1"/>
  <c r="DY134" i="1"/>
  <c r="DZ132" i="1"/>
  <c r="DZ134" i="1" s="1"/>
  <c r="BK114" i="1"/>
  <c r="BK116" i="1" s="1"/>
  <c r="MM113" i="1"/>
  <c r="EC121" i="1"/>
  <c r="BL99" i="1"/>
  <c r="BM103" i="1" s="1"/>
  <c r="BL108" i="1"/>
  <c r="EC127" i="1" l="1"/>
  <c r="EC131" i="1" s="1"/>
  <c r="EA132" i="1"/>
  <c r="BL113" i="1"/>
  <c r="MN113" i="1"/>
  <c r="ED121" i="1"/>
  <c r="BL100" i="1"/>
  <c r="BM104" i="1"/>
  <c r="BM109" i="1"/>
  <c r="ED127" i="1" l="1"/>
  <c r="ED131" i="1" s="1"/>
  <c r="EA134" i="1"/>
  <c r="EB132" i="1"/>
  <c r="EB134" i="1" s="1"/>
  <c r="BL114" i="1"/>
  <c r="BL116" i="1" s="1"/>
  <c r="MO113" i="1"/>
  <c r="EE121" i="1"/>
  <c r="BM99" i="1"/>
  <c r="BN103" i="1" s="1"/>
  <c r="BM108" i="1"/>
  <c r="EE127" i="1" l="1"/>
  <c r="EE131" i="1" s="1"/>
  <c r="EC132" i="1"/>
  <c r="EC134" i="1" s="1"/>
  <c r="BM113" i="1"/>
  <c r="MP113" i="1"/>
  <c r="EF121" i="1"/>
  <c r="BM100" i="1"/>
  <c r="BN104" i="1"/>
  <c r="BN109" i="1"/>
  <c r="EF127" i="1" l="1"/>
  <c r="EF131" i="1" s="1"/>
  <c r="ED132" i="1"/>
  <c r="ED134" i="1" s="1"/>
  <c r="BM114" i="1"/>
  <c r="BM116" i="1" s="1"/>
  <c r="MQ113" i="1"/>
  <c r="EG121" i="1"/>
  <c r="BN99" i="1"/>
  <c r="BO103" i="1" s="1"/>
  <c r="BN108" i="1"/>
  <c r="EG127" i="1" l="1"/>
  <c r="EG131" i="1" s="1"/>
  <c r="EE132" i="1"/>
  <c r="EE134" i="1" s="1"/>
  <c r="BN113" i="1"/>
  <c r="MR113" i="1"/>
  <c r="EH121" i="1"/>
  <c r="BN100" i="1"/>
  <c r="BO104" i="1"/>
  <c r="BO109" i="1"/>
  <c r="EH127" i="1" l="1"/>
  <c r="EH131" i="1" s="1"/>
  <c r="EF132" i="1"/>
  <c r="EF134" i="1" s="1"/>
  <c r="BN114" i="1"/>
  <c r="BN116" i="1" s="1"/>
  <c r="MS113" i="1"/>
  <c r="EI121" i="1"/>
  <c r="BO99" i="1"/>
  <c r="BP103" i="1" s="1"/>
  <c r="BO108" i="1"/>
  <c r="BO113" i="1" s="1"/>
  <c r="EI127" i="1" l="1"/>
  <c r="EI131" i="1" s="1"/>
  <c r="BO114" i="1"/>
  <c r="EG132" i="1"/>
  <c r="EG134" i="1" s="1"/>
  <c r="MT113" i="1"/>
  <c r="EJ121" i="1"/>
  <c r="BO100" i="1"/>
  <c r="BP104" i="1"/>
  <c r="BP109" i="1"/>
  <c r="EJ127" i="1" l="1"/>
  <c r="EJ131" i="1" s="1"/>
  <c r="BO116" i="1"/>
  <c r="EH132" i="1"/>
  <c r="EH134" i="1" s="1"/>
  <c r="MU113" i="1"/>
  <c r="EK121" i="1"/>
  <c r="BP99" i="1"/>
  <c r="BQ103" i="1" s="1"/>
  <c r="BP108" i="1"/>
  <c r="BP113" i="1" s="1"/>
  <c r="EK127" i="1" l="1"/>
  <c r="EK131" i="1" s="1"/>
  <c r="EI132" i="1"/>
  <c r="EI134" i="1" s="1"/>
  <c r="BP114" i="1"/>
  <c r="MV113" i="1"/>
  <c r="EL121" i="1"/>
  <c r="BP100" i="1"/>
  <c r="BQ104" i="1"/>
  <c r="BQ109" i="1"/>
  <c r="EL127" i="1" l="1"/>
  <c r="EL131" i="1" s="1"/>
  <c r="BP116" i="1"/>
  <c r="EJ132" i="1"/>
  <c r="EJ134" i="1" s="1"/>
  <c r="MW113" i="1"/>
  <c r="EM121" i="1"/>
  <c r="BQ99" i="1"/>
  <c r="BR103" i="1" s="1"/>
  <c r="BQ108" i="1"/>
  <c r="BQ113" i="1" s="1"/>
  <c r="BQ114" i="1" s="1"/>
  <c r="EM127" i="1" l="1"/>
  <c r="EM131" i="1" s="1"/>
  <c r="EK132" i="1"/>
  <c r="EK134" i="1" s="1"/>
  <c r="MX113" i="1"/>
  <c r="EN121" i="1"/>
  <c r="BQ100" i="1"/>
  <c r="BQ116" i="1" s="1"/>
  <c r="BR104" i="1"/>
  <c r="BR109" i="1"/>
  <c r="EN127" i="1" l="1"/>
  <c r="EN131" i="1" s="1"/>
  <c r="EL132" i="1"/>
  <c r="EL134" i="1" s="1"/>
  <c r="MY113" i="1"/>
  <c r="EO121" i="1"/>
  <c r="BR99" i="1"/>
  <c r="BS103" i="1" s="1"/>
  <c r="BR108" i="1"/>
  <c r="BR113" i="1" s="1"/>
  <c r="BR114" i="1" s="1"/>
  <c r="EO127" i="1" l="1"/>
  <c r="EO131" i="1" s="1"/>
  <c r="EM132" i="1"/>
  <c r="EM134" i="1" s="1"/>
  <c r="MZ113" i="1"/>
  <c r="EP121" i="1"/>
  <c r="BR100" i="1"/>
  <c r="BR116" i="1" s="1"/>
  <c r="BS104" i="1"/>
  <c r="BS109" i="1"/>
  <c r="EP127" i="1" l="1"/>
  <c r="EP131" i="1" s="1"/>
  <c r="EN132" i="1"/>
  <c r="EN134" i="1" s="1"/>
  <c r="NA113" i="1"/>
  <c r="EQ121" i="1"/>
  <c r="BS99" i="1"/>
  <c r="BT103" i="1" s="1"/>
  <c r="BS108" i="1"/>
  <c r="BS113" i="1" s="1"/>
  <c r="BS114" i="1" s="1"/>
  <c r="EQ127" i="1" l="1"/>
  <c r="EQ131" i="1" s="1"/>
  <c r="EO132" i="1"/>
  <c r="EO134" i="1" s="1"/>
  <c r="NB113" i="1"/>
  <c r="ER121" i="1"/>
  <c r="BS100" i="1"/>
  <c r="BS116" i="1" s="1"/>
  <c r="BT104" i="1"/>
  <c r="BT109" i="1"/>
  <c r="ER127" i="1" l="1"/>
  <c r="ER131" i="1" s="1"/>
  <c r="EP132" i="1"/>
  <c r="EP134" i="1" s="1"/>
  <c r="NC113" i="1"/>
  <c r="ES121" i="1"/>
  <c r="BT99" i="1"/>
  <c r="BU103" i="1" s="1"/>
  <c r="BT108" i="1"/>
  <c r="BT113" i="1" s="1"/>
  <c r="BT114" i="1" s="1"/>
  <c r="ES127" i="1" l="1"/>
  <c r="ES131" i="1" s="1"/>
  <c r="EQ132" i="1"/>
  <c r="EQ134" i="1" s="1"/>
  <c r="ND113" i="1"/>
  <c r="ET121" i="1"/>
  <c r="BT100" i="1"/>
  <c r="BT116" i="1" s="1"/>
  <c r="BU104" i="1"/>
  <c r="BU109" i="1"/>
  <c r="ET127" i="1" l="1"/>
  <c r="ET131" i="1" s="1"/>
  <c r="ER132" i="1"/>
  <c r="ER134" i="1" s="1"/>
  <c r="NE113" i="1"/>
  <c r="EU121" i="1"/>
  <c r="BU99" i="1"/>
  <c r="BV103" i="1" s="1"/>
  <c r="BU108" i="1"/>
  <c r="BU113" i="1" s="1"/>
  <c r="BU114" i="1" s="1"/>
  <c r="EU127" i="1" l="1"/>
  <c r="EU131" i="1" s="1"/>
  <c r="ES132" i="1"/>
  <c r="ES134" i="1" s="1"/>
  <c r="NF113" i="1"/>
  <c r="EV121" i="1"/>
  <c r="BU100" i="1"/>
  <c r="BU116" i="1" s="1"/>
  <c r="BV104" i="1"/>
  <c r="BV109" i="1"/>
  <c r="EV127" i="1" l="1"/>
  <c r="EV131" i="1" s="1"/>
  <c r="ET132" i="1"/>
  <c r="ET134" i="1" s="1"/>
  <c r="NG113" i="1"/>
  <c r="EW121" i="1"/>
  <c r="BV99" i="1"/>
  <c r="BV108" i="1"/>
  <c r="BV113" i="1" s="1"/>
  <c r="BV114" i="1" s="1"/>
  <c r="EW127" i="1" l="1"/>
  <c r="EW131" i="1" s="1"/>
  <c r="EU132" i="1"/>
  <c r="EU134" i="1" s="1"/>
  <c r="NH113" i="1"/>
  <c r="BW103" i="1"/>
  <c r="H50" i="1"/>
  <c r="EX121" i="1"/>
  <c r="BV100" i="1"/>
  <c r="EX127" i="1" l="1"/>
  <c r="EX131" i="1" s="1"/>
  <c r="EV132" i="1"/>
  <c r="EV134" i="1" s="1"/>
  <c r="NI113" i="1"/>
  <c r="BW104" i="1"/>
  <c r="BW99" i="1" s="1"/>
  <c r="BX103" i="1" s="1"/>
  <c r="BW109" i="1"/>
  <c r="BV116" i="1"/>
  <c r="H51" i="1"/>
  <c r="EY121" i="1"/>
  <c r="EY127" i="1" l="1"/>
  <c r="EY131" i="1" s="1"/>
  <c r="EW132" i="1"/>
  <c r="EW134" i="1" s="1"/>
  <c r="BW108" i="1"/>
  <c r="BW113" i="1" s="1"/>
  <c r="NJ113" i="1"/>
  <c r="EZ121" i="1"/>
  <c r="BW100" i="1"/>
  <c r="BX104" i="1"/>
  <c r="BX109" i="1"/>
  <c r="EZ127" i="1" l="1"/>
  <c r="EZ131" i="1" s="1"/>
  <c r="EX132" i="1"/>
  <c r="EX134" i="1" s="1"/>
  <c r="BW114" i="1"/>
  <c r="BW116" i="1" s="1"/>
  <c r="NK113" i="1"/>
  <c r="FA121" i="1"/>
  <c r="BX99" i="1"/>
  <c r="BY103" i="1" s="1"/>
  <c r="BX108" i="1"/>
  <c r="FA127" i="1" l="1"/>
  <c r="FA131" i="1" s="1"/>
  <c r="EY132" i="1"/>
  <c r="EY134" i="1" s="1"/>
  <c r="BX113" i="1"/>
  <c r="NL113" i="1"/>
  <c r="FB121" i="1"/>
  <c r="BX100" i="1"/>
  <c r="BY104" i="1"/>
  <c r="BY109" i="1"/>
  <c r="FB127" i="1" l="1"/>
  <c r="FB131" i="1" s="1"/>
  <c r="EZ132" i="1"/>
  <c r="EZ134" i="1" s="1"/>
  <c r="BX114" i="1"/>
  <c r="BX116" i="1" s="1"/>
  <c r="NM113" i="1"/>
  <c r="FC121" i="1"/>
  <c r="BY99" i="1"/>
  <c r="BZ103" i="1" s="1"/>
  <c r="BY108" i="1"/>
  <c r="FC127" i="1" l="1"/>
  <c r="FA132" i="1"/>
  <c r="FA134" i="1" s="1"/>
  <c r="BY113" i="1"/>
  <c r="NN113" i="1"/>
  <c r="FD121" i="1"/>
  <c r="BY100" i="1"/>
  <c r="BZ104" i="1"/>
  <c r="BZ109" i="1"/>
  <c r="FD127" i="1" l="1"/>
  <c r="FD131" i="1" s="1"/>
  <c r="FB132" i="1"/>
  <c r="FB134" i="1" s="1"/>
  <c r="BY114" i="1"/>
  <c r="BY116" i="1" s="1"/>
  <c r="FC131" i="1"/>
  <c r="NO113" i="1"/>
  <c r="FE121" i="1"/>
  <c r="BZ99" i="1"/>
  <c r="CA103" i="1" s="1"/>
  <c r="BZ108" i="1"/>
  <c r="BZ113" i="1" s="1"/>
  <c r="FE127" i="1" l="1"/>
  <c r="FE131" i="1" s="1"/>
  <c r="BZ114" i="1"/>
  <c r="FC132" i="1"/>
  <c r="FD132" i="1" s="1"/>
  <c r="FD134" i="1" s="1"/>
  <c r="NP113" i="1"/>
  <c r="FF121" i="1"/>
  <c r="BZ100" i="1"/>
  <c r="CA104" i="1"/>
  <c r="CA109" i="1"/>
  <c r="BZ116" i="1" l="1"/>
  <c r="FF127" i="1"/>
  <c r="FF131" i="1" s="1"/>
  <c r="FE132" i="1"/>
  <c r="FE134" i="1" s="1"/>
  <c r="FC134" i="1"/>
  <c r="NQ113" i="1"/>
  <c r="FG121" i="1"/>
  <c r="CA99" i="1"/>
  <c r="CB103" i="1" s="1"/>
  <c r="CA108" i="1"/>
  <c r="CA113" i="1" s="1"/>
  <c r="FG127" i="1" l="1"/>
  <c r="FF132" i="1"/>
  <c r="FF134" i="1" s="1"/>
  <c r="CA114" i="1"/>
  <c r="NR113" i="1"/>
  <c r="FH121" i="1"/>
  <c r="CA100" i="1"/>
  <c r="CB104" i="1"/>
  <c r="CB109" i="1"/>
  <c r="FH127" i="1" l="1"/>
  <c r="FH131" i="1" s="1"/>
  <c r="CA116" i="1"/>
  <c r="FG131" i="1"/>
  <c r="NS113" i="1"/>
  <c r="FI121" i="1"/>
  <c r="CB99" i="1"/>
  <c r="CC103" i="1" s="1"/>
  <c r="CB108" i="1"/>
  <c r="CB113" i="1" s="1"/>
  <c r="FI127" i="1" l="1"/>
  <c r="FI131" i="1" s="1"/>
  <c r="FG132" i="1"/>
  <c r="CB114" i="1"/>
  <c r="NT113" i="1"/>
  <c r="FJ121" i="1"/>
  <c r="CB100" i="1"/>
  <c r="CC104" i="1"/>
  <c r="CC109" i="1"/>
  <c r="FJ127" i="1" l="1"/>
  <c r="FJ131" i="1" s="1"/>
  <c r="FG134" i="1"/>
  <c r="CB116" i="1"/>
  <c r="FH132" i="1"/>
  <c r="FH134" i="1" s="1"/>
  <c r="NU113" i="1"/>
  <c r="FK121" i="1"/>
  <c r="CC99" i="1"/>
  <c r="CD103" i="1" s="1"/>
  <c r="CC108" i="1"/>
  <c r="CC113" i="1" s="1"/>
  <c r="CC114" i="1" s="1"/>
  <c r="FK127" i="1" l="1"/>
  <c r="FK131" i="1" s="1"/>
  <c r="FI132" i="1"/>
  <c r="FI134" i="1" s="1"/>
  <c r="NV113" i="1"/>
  <c r="FL121" i="1"/>
  <c r="CC100" i="1"/>
  <c r="CC116" i="1" s="1"/>
  <c r="CD104" i="1"/>
  <c r="CD109" i="1"/>
  <c r="FL127" i="1" l="1"/>
  <c r="FL131" i="1" s="1"/>
  <c r="FJ132" i="1"/>
  <c r="FJ134" i="1" s="1"/>
  <c r="NW113" i="1"/>
  <c r="FM121" i="1"/>
  <c r="CD99" i="1"/>
  <c r="CE103" i="1" s="1"/>
  <c r="CD108" i="1"/>
  <c r="CD113" i="1" s="1"/>
  <c r="CD114" i="1" s="1"/>
  <c r="FM127" i="1" l="1"/>
  <c r="FM131" i="1" s="1"/>
  <c r="FK132" i="1"/>
  <c r="FK134" i="1" s="1"/>
  <c r="NX113" i="1"/>
  <c r="FN121" i="1"/>
  <c r="CD100" i="1"/>
  <c r="CD116" i="1" s="1"/>
  <c r="CE104" i="1"/>
  <c r="CE109" i="1"/>
  <c r="FN127" i="1" l="1"/>
  <c r="FN131" i="1" s="1"/>
  <c r="FL132" i="1"/>
  <c r="FL134" i="1" s="1"/>
  <c r="NY113" i="1"/>
  <c r="FO121" i="1"/>
  <c r="CE99" i="1"/>
  <c r="CF103" i="1" s="1"/>
  <c r="CE108" i="1"/>
  <c r="CE113" i="1" s="1"/>
  <c r="CE114" i="1" s="1"/>
  <c r="FO127" i="1" l="1"/>
  <c r="FM132" i="1"/>
  <c r="FM134" i="1" s="1"/>
  <c r="NZ113" i="1"/>
  <c r="FP121" i="1"/>
  <c r="CE100" i="1"/>
  <c r="CE116" i="1" s="1"/>
  <c r="CF104" i="1"/>
  <c r="CF109" i="1"/>
  <c r="FP127" i="1" l="1"/>
  <c r="FP131" i="1" s="1"/>
  <c r="FN132" i="1"/>
  <c r="FN134" i="1" s="1"/>
  <c r="FO131" i="1"/>
  <c r="OA113" i="1"/>
  <c r="FQ121" i="1"/>
  <c r="CF99" i="1"/>
  <c r="CG103" i="1" s="1"/>
  <c r="CF108" i="1"/>
  <c r="CF113" i="1" s="1"/>
  <c r="CF114" i="1" s="1"/>
  <c r="FQ127" i="1" l="1"/>
  <c r="FO132" i="1"/>
  <c r="OB113" i="1"/>
  <c r="FR121" i="1"/>
  <c r="CF100" i="1"/>
  <c r="CF116" i="1" s="1"/>
  <c r="CG104" i="1"/>
  <c r="CG109" i="1"/>
  <c r="FR127" i="1" l="1"/>
  <c r="FR131" i="1" s="1"/>
  <c r="FO134" i="1"/>
  <c r="FP132" i="1"/>
  <c r="FP134" i="1" s="1"/>
  <c r="FQ131" i="1"/>
  <c r="OC113" i="1"/>
  <c r="FS121" i="1"/>
  <c r="CG99" i="1"/>
  <c r="CH103" i="1" s="1"/>
  <c r="CG108" i="1"/>
  <c r="CG113" i="1" s="1"/>
  <c r="CG114" i="1" s="1"/>
  <c r="FS127" i="1" l="1"/>
  <c r="FQ132" i="1"/>
  <c r="OD113" i="1"/>
  <c r="FT121" i="1"/>
  <c r="CG100" i="1"/>
  <c r="CG116" i="1" s="1"/>
  <c r="CH104" i="1"/>
  <c r="CH109" i="1"/>
  <c r="FT127" i="1" l="1"/>
  <c r="FT131" i="1" s="1"/>
  <c r="FQ134" i="1"/>
  <c r="FR132" i="1"/>
  <c r="FR134" i="1" s="1"/>
  <c r="FS131" i="1"/>
  <c r="OE113" i="1"/>
  <c r="FU121" i="1"/>
  <c r="CH99" i="1"/>
  <c r="CH108" i="1"/>
  <c r="CH113" i="1" s="1"/>
  <c r="CH114" i="1" s="1"/>
  <c r="FU127" i="1" l="1"/>
  <c r="FS132" i="1"/>
  <c r="FS134" i="1" s="1"/>
  <c r="OF113" i="1"/>
  <c r="CI103" i="1"/>
  <c r="I50" i="1"/>
  <c r="FV121" i="1"/>
  <c r="CH100" i="1"/>
  <c r="FV127" i="1" l="1"/>
  <c r="FV131" i="1" s="1"/>
  <c r="FT132" i="1"/>
  <c r="FT134" i="1" s="1"/>
  <c r="FU131" i="1"/>
  <c r="OG113" i="1"/>
  <c r="CI104" i="1"/>
  <c r="CI99" i="1" s="1"/>
  <c r="CJ103" i="1" s="1"/>
  <c r="CH116" i="1"/>
  <c r="I51" i="1"/>
  <c r="CI109" i="1"/>
  <c r="FW121" i="1"/>
  <c r="FW127" i="1" l="1"/>
  <c r="FW131" i="1" s="1"/>
  <c r="FU132" i="1"/>
  <c r="FV132" i="1" s="1"/>
  <c r="FV134" i="1" s="1"/>
  <c r="CI108" i="1"/>
  <c r="CI113" i="1" s="1"/>
  <c r="OH113" i="1"/>
  <c r="FX121" i="1"/>
  <c r="CI100" i="1"/>
  <c r="CJ104" i="1"/>
  <c r="CJ109" i="1"/>
  <c r="FX127" i="1" l="1"/>
  <c r="FX131" i="1" s="1"/>
  <c r="FW132" i="1"/>
  <c r="FW134" i="1" s="1"/>
  <c r="FU134" i="1"/>
  <c r="CI114" i="1"/>
  <c r="CI116" i="1" s="1"/>
  <c r="OI113" i="1"/>
  <c r="FY121" i="1"/>
  <c r="CJ99" i="1"/>
  <c r="CK103" i="1" s="1"/>
  <c r="CJ108" i="1"/>
  <c r="FY127" i="1" l="1"/>
  <c r="FY131" i="1" s="1"/>
  <c r="FX132" i="1"/>
  <c r="FX134" i="1" s="1"/>
  <c r="CJ113" i="1"/>
  <c r="OJ113" i="1"/>
  <c r="FZ121" i="1"/>
  <c r="CJ100" i="1"/>
  <c r="CK104" i="1"/>
  <c r="CK109" i="1"/>
  <c r="FZ127" i="1" l="1"/>
  <c r="FZ131" i="1" s="1"/>
  <c r="FY132" i="1"/>
  <c r="FY134" i="1" s="1"/>
  <c r="CJ114" i="1"/>
  <c r="CJ116" i="1" s="1"/>
  <c r="OK113" i="1"/>
  <c r="GA121" i="1"/>
  <c r="CK99" i="1"/>
  <c r="CL103" i="1" s="1"/>
  <c r="CK108" i="1"/>
  <c r="GA127" i="1" l="1"/>
  <c r="FZ132" i="1"/>
  <c r="FZ134" i="1" s="1"/>
  <c r="CK113" i="1"/>
  <c r="OL113" i="1"/>
  <c r="GB121" i="1"/>
  <c r="CK100" i="1"/>
  <c r="CL104" i="1"/>
  <c r="CL109" i="1"/>
  <c r="GB127" i="1" l="1"/>
  <c r="GB131" i="1" s="1"/>
  <c r="CK114" i="1"/>
  <c r="CK116" i="1" s="1"/>
  <c r="GA131" i="1"/>
  <c r="OM113" i="1"/>
  <c r="GC121" i="1"/>
  <c r="CL99" i="1"/>
  <c r="CM103" i="1" s="1"/>
  <c r="CL108" i="1"/>
  <c r="CL113" i="1" s="1"/>
  <c r="GC127" i="1" l="1"/>
  <c r="GC131" i="1" s="1"/>
  <c r="CL114" i="1"/>
  <c r="GA132" i="1"/>
  <c r="ON113" i="1"/>
  <c r="GD121" i="1"/>
  <c r="CL100" i="1"/>
  <c r="CM104" i="1"/>
  <c r="CM109" i="1"/>
  <c r="GD127" i="1" l="1"/>
  <c r="GD131" i="1" s="1"/>
  <c r="CL116" i="1"/>
  <c r="GA134" i="1"/>
  <c r="GB132" i="1"/>
  <c r="GB134" i="1" s="1"/>
  <c r="OO113" i="1"/>
  <c r="GE121" i="1"/>
  <c r="CM99" i="1"/>
  <c r="CN103" i="1" s="1"/>
  <c r="CM108" i="1"/>
  <c r="CM113" i="1" s="1"/>
  <c r="GE127" i="1" l="1"/>
  <c r="GE131" i="1" s="1"/>
  <c r="GC132" i="1"/>
  <c r="CM114" i="1"/>
  <c r="OP113" i="1"/>
  <c r="GF121" i="1"/>
  <c r="CM100" i="1"/>
  <c r="CN104" i="1"/>
  <c r="CN109" i="1"/>
  <c r="GF127" i="1" l="1"/>
  <c r="GF131" i="1" s="1"/>
  <c r="CM116" i="1"/>
  <c r="GC134" i="1"/>
  <c r="GD132" i="1"/>
  <c r="GD134" i="1" s="1"/>
  <c r="OQ113" i="1"/>
  <c r="GG121" i="1"/>
  <c r="CN99" i="1"/>
  <c r="CO103" i="1" s="1"/>
  <c r="CN108" i="1"/>
  <c r="CN113" i="1" s="1"/>
  <c r="GG127" i="1" l="1"/>
  <c r="GG131" i="1" s="1"/>
  <c r="GE132" i="1"/>
  <c r="CN114" i="1"/>
  <c r="OR113" i="1"/>
  <c r="GH121" i="1"/>
  <c r="CN100" i="1"/>
  <c r="CO104" i="1"/>
  <c r="CO109" i="1"/>
  <c r="GH127" i="1" l="1"/>
  <c r="GH131" i="1" s="1"/>
  <c r="GE134" i="1"/>
  <c r="CN116" i="1"/>
  <c r="GF132" i="1"/>
  <c r="GF134" i="1" s="1"/>
  <c r="OS113" i="1"/>
  <c r="GI121" i="1"/>
  <c r="CO99" i="1"/>
  <c r="CP103" i="1" s="1"/>
  <c r="CO108" i="1"/>
  <c r="CO113" i="1" s="1"/>
  <c r="CO114" i="1" s="1"/>
  <c r="GI127" i="1" l="1"/>
  <c r="GI131" i="1" s="1"/>
  <c r="GG132" i="1"/>
  <c r="GG134" i="1" s="1"/>
  <c r="OT113" i="1"/>
  <c r="GJ121" i="1"/>
  <c r="CO100" i="1"/>
  <c r="CO116" i="1" s="1"/>
  <c r="CP104" i="1"/>
  <c r="CP109" i="1"/>
  <c r="GJ127" i="1" l="1"/>
  <c r="GJ131" i="1" s="1"/>
  <c r="GH132" i="1"/>
  <c r="GH134" i="1" s="1"/>
  <c r="OU113" i="1"/>
  <c r="GK121" i="1"/>
  <c r="CP99" i="1"/>
  <c r="CQ103" i="1" s="1"/>
  <c r="CP108" i="1"/>
  <c r="CP113" i="1" s="1"/>
  <c r="CP114" i="1" s="1"/>
  <c r="GK127" i="1" l="1"/>
  <c r="GK131" i="1" s="1"/>
  <c r="GI132" i="1"/>
  <c r="GI134" i="1" s="1"/>
  <c r="OV113" i="1"/>
  <c r="GL121" i="1"/>
  <c r="CP100" i="1"/>
  <c r="CP116" i="1" s="1"/>
  <c r="CQ104" i="1"/>
  <c r="CQ109" i="1"/>
  <c r="GL127" i="1" l="1"/>
  <c r="GL131" i="1" s="1"/>
  <c r="GJ132" i="1"/>
  <c r="GJ134" i="1" s="1"/>
  <c r="OW113" i="1"/>
  <c r="GM121" i="1"/>
  <c r="CQ99" i="1"/>
  <c r="CR103" i="1" s="1"/>
  <c r="CQ108" i="1"/>
  <c r="CQ113" i="1" s="1"/>
  <c r="CQ114" i="1" s="1"/>
  <c r="GM127" i="1" l="1"/>
  <c r="GM131" i="1" s="1"/>
  <c r="GK132" i="1"/>
  <c r="GK134" i="1" s="1"/>
  <c r="OX113" i="1"/>
  <c r="GN121" i="1"/>
  <c r="GO121" i="1" s="1"/>
  <c r="GP121" i="1" s="1"/>
  <c r="GQ121" i="1" s="1"/>
  <c r="GR121" i="1" s="1"/>
  <c r="GS121" i="1" s="1"/>
  <c r="GT121" i="1" s="1"/>
  <c r="GU121" i="1" s="1"/>
  <c r="GV121" i="1" s="1"/>
  <c r="GW121" i="1" s="1"/>
  <c r="GX121" i="1" s="1"/>
  <c r="GY121" i="1" s="1"/>
  <c r="CQ100" i="1"/>
  <c r="CQ116" i="1" s="1"/>
  <c r="CR104" i="1"/>
  <c r="CR109" i="1"/>
  <c r="GN127" i="1" l="1"/>
  <c r="GN131" i="1" s="1"/>
  <c r="GL132" i="1"/>
  <c r="GL134" i="1" s="1"/>
  <c r="S71" i="1"/>
  <c r="GZ121" i="1"/>
  <c r="HA121" i="1" s="1"/>
  <c r="HB121" i="1" s="1"/>
  <c r="HC121" i="1" s="1"/>
  <c r="HD121" i="1" s="1"/>
  <c r="HE121" i="1" s="1"/>
  <c r="HF121" i="1" s="1"/>
  <c r="HG121" i="1" s="1"/>
  <c r="HH121" i="1" s="1"/>
  <c r="HI121" i="1" s="1"/>
  <c r="HJ121" i="1" s="1"/>
  <c r="HK121" i="1" s="1"/>
  <c r="OY113" i="1"/>
  <c r="CR99" i="1"/>
  <c r="CS103" i="1" s="1"/>
  <c r="CR108" i="1"/>
  <c r="CR113" i="1" s="1"/>
  <c r="CR114" i="1" s="1"/>
  <c r="GO127" i="1" l="1"/>
  <c r="GO131" i="1" s="1"/>
  <c r="GM132" i="1"/>
  <c r="GN132" i="1" s="1"/>
  <c r="GN134" i="1" s="1"/>
  <c r="T71" i="1"/>
  <c r="HL121" i="1"/>
  <c r="HM121" i="1" s="1"/>
  <c r="HN121" i="1" s="1"/>
  <c r="HO121" i="1" s="1"/>
  <c r="HP121" i="1" s="1"/>
  <c r="HQ121" i="1" s="1"/>
  <c r="HR121" i="1" s="1"/>
  <c r="HS121" i="1" s="1"/>
  <c r="HT121" i="1" s="1"/>
  <c r="HU121" i="1" s="1"/>
  <c r="HV121" i="1" s="1"/>
  <c r="HW121" i="1" s="1"/>
  <c r="OZ113" i="1"/>
  <c r="CR100" i="1"/>
  <c r="CR116" i="1" s="1"/>
  <c r="CS104" i="1"/>
  <c r="CS109" i="1"/>
  <c r="U71" i="1" l="1"/>
  <c r="GP127" i="1"/>
  <c r="GP131" i="1" s="1"/>
  <c r="GM134" i="1"/>
  <c r="GO132" i="1"/>
  <c r="GO134" i="1" s="1"/>
  <c r="HX121" i="1"/>
  <c r="HY121" i="1" s="1"/>
  <c r="HZ121" i="1" s="1"/>
  <c r="IA121" i="1" s="1"/>
  <c r="IB121" i="1" s="1"/>
  <c r="IC121" i="1" s="1"/>
  <c r="ID121" i="1" s="1"/>
  <c r="IE121" i="1" s="1"/>
  <c r="IF121" i="1" s="1"/>
  <c r="IG121" i="1" s="1"/>
  <c r="IH121" i="1" s="1"/>
  <c r="II121" i="1" s="1"/>
  <c r="PA113" i="1"/>
  <c r="CS99" i="1"/>
  <c r="CT103" i="1" s="1"/>
  <c r="CS108" i="1"/>
  <c r="CS113" i="1" s="1"/>
  <c r="CS114" i="1" s="1"/>
  <c r="V71" i="1" l="1"/>
  <c r="GQ127" i="1"/>
  <c r="GQ131" i="1" s="1"/>
  <c r="GP132" i="1"/>
  <c r="GP134" i="1" s="1"/>
  <c r="IJ121" i="1"/>
  <c r="PB113" i="1"/>
  <c r="CS100" i="1"/>
  <c r="CS116" i="1" s="1"/>
  <c r="CT104" i="1"/>
  <c r="CT109" i="1"/>
  <c r="GR127" i="1" l="1"/>
  <c r="GR131" i="1" s="1"/>
  <c r="GQ132" i="1"/>
  <c r="GQ134" i="1" s="1"/>
  <c r="IK121" i="1"/>
  <c r="PC113" i="1"/>
  <c r="CT99" i="1"/>
  <c r="CT108" i="1"/>
  <c r="CT113" i="1" s="1"/>
  <c r="CT114" i="1" s="1"/>
  <c r="GS127" i="1" l="1"/>
  <c r="GS131" i="1" s="1"/>
  <c r="GR132" i="1"/>
  <c r="GR134" i="1" s="1"/>
  <c r="IL121" i="1"/>
  <c r="PD113" i="1"/>
  <c r="CU103" i="1"/>
  <c r="CU109" i="1" s="1"/>
  <c r="J50" i="1"/>
  <c r="CT100" i="1"/>
  <c r="GT127" i="1" l="1"/>
  <c r="GT131" i="1" s="1"/>
  <c r="GS132" i="1"/>
  <c r="GS134" i="1" s="1"/>
  <c r="IM121" i="1"/>
  <c r="PE113" i="1"/>
  <c r="CU104" i="1"/>
  <c r="CU99" i="1" s="1"/>
  <c r="CV103" i="1" s="1"/>
  <c r="CT116" i="1"/>
  <c r="J51" i="1"/>
  <c r="CU108" i="1" l="1"/>
  <c r="GU127" i="1"/>
  <c r="GU131" i="1" s="1"/>
  <c r="GT132" i="1"/>
  <c r="GT134" i="1" s="1"/>
  <c r="IN121" i="1"/>
  <c r="CU113" i="1"/>
  <c r="PF113" i="1"/>
  <c r="W60" i="1"/>
  <c r="W63" i="1" s="1"/>
  <c r="X60" i="1"/>
  <c r="X63" i="1" s="1"/>
  <c r="Y60" i="1"/>
  <c r="Y63" i="1" s="1"/>
  <c r="Z60" i="1"/>
  <c r="Z63" i="1" s="1"/>
  <c r="AA60" i="1"/>
  <c r="AA63" i="1" s="1"/>
  <c r="AB60" i="1"/>
  <c r="AB63" i="1" s="1"/>
  <c r="AC60" i="1"/>
  <c r="AC63" i="1" s="1"/>
  <c r="AD60" i="1"/>
  <c r="AD63" i="1" s="1"/>
  <c r="AE60" i="1"/>
  <c r="AE63" i="1" s="1"/>
  <c r="AF60" i="1"/>
  <c r="AF63" i="1" s="1"/>
  <c r="AG60" i="1"/>
  <c r="AG63" i="1" s="1"/>
  <c r="AH60" i="1"/>
  <c r="AH63" i="1" s="1"/>
  <c r="AI60" i="1"/>
  <c r="AI63" i="1" s="1"/>
  <c r="AJ60" i="1"/>
  <c r="AJ63" i="1" s="1"/>
  <c r="AK60" i="1"/>
  <c r="AK63" i="1" s="1"/>
  <c r="CU100" i="1"/>
  <c r="CV104" i="1"/>
  <c r="CV109" i="1"/>
  <c r="GV127" i="1" l="1"/>
  <c r="GV131" i="1" s="1"/>
  <c r="GU132" i="1"/>
  <c r="GU134" i="1" s="1"/>
  <c r="CU114" i="1"/>
  <c r="CU116" i="1" s="1"/>
  <c r="IO121" i="1"/>
  <c r="CV99" i="1"/>
  <c r="CW103" i="1" s="1"/>
  <c r="CV108" i="1"/>
  <c r="GW127" i="1" l="1"/>
  <c r="GW131" i="1" s="1"/>
  <c r="GV132" i="1"/>
  <c r="GV134" i="1" s="1"/>
  <c r="IP121" i="1"/>
  <c r="CV113" i="1"/>
  <c r="CV100" i="1"/>
  <c r="CW104" i="1"/>
  <c r="CW109" i="1"/>
  <c r="GX127" i="1" l="1"/>
  <c r="GX131" i="1" s="1"/>
  <c r="GW132" i="1"/>
  <c r="GW134" i="1" s="1"/>
  <c r="CV114" i="1"/>
  <c r="CV116" i="1" s="1"/>
  <c r="IQ121" i="1"/>
  <c r="CW99" i="1"/>
  <c r="CX103" i="1" s="1"/>
  <c r="CW108" i="1"/>
  <c r="GY127" i="1" l="1"/>
  <c r="GY131" i="1" s="1"/>
  <c r="GX132" i="1"/>
  <c r="GX134" i="1" s="1"/>
  <c r="IR121" i="1"/>
  <c r="CW113" i="1"/>
  <c r="CW100" i="1"/>
  <c r="CX104" i="1"/>
  <c r="CX109" i="1"/>
  <c r="GZ127" i="1" l="1"/>
  <c r="GZ131" i="1" s="1"/>
  <c r="GY132" i="1"/>
  <c r="CW114" i="1"/>
  <c r="CW116" i="1" s="1"/>
  <c r="IS121" i="1"/>
  <c r="CX99" i="1"/>
  <c r="CY103" i="1" s="1"/>
  <c r="CX108" i="1"/>
  <c r="GZ132" i="1" l="1"/>
  <c r="GZ134" i="1" s="1"/>
  <c r="HA127" i="1"/>
  <c r="HA131" i="1" s="1"/>
  <c r="GY134" i="1"/>
  <c r="IT121" i="1"/>
  <c r="CX113" i="1"/>
  <c r="CX100" i="1"/>
  <c r="CY104" i="1"/>
  <c r="CY109" i="1"/>
  <c r="HB127" i="1" l="1"/>
  <c r="HB131" i="1" s="1"/>
  <c r="HA132" i="1"/>
  <c r="CX114" i="1"/>
  <c r="CX116" i="1" s="1"/>
  <c r="IU121" i="1"/>
  <c r="CY99" i="1"/>
  <c r="CZ103" i="1" s="1"/>
  <c r="CY108" i="1"/>
  <c r="CY113" i="1" s="1"/>
  <c r="HB132" i="1" l="1"/>
  <c r="HB134" i="1" s="1"/>
  <c r="HC127" i="1"/>
  <c r="HC131" i="1" s="1"/>
  <c r="CY114" i="1"/>
  <c r="HA134" i="1"/>
  <c r="IV121" i="1"/>
  <c r="CY100" i="1"/>
  <c r="CZ104" i="1"/>
  <c r="CZ109" i="1"/>
  <c r="CY116" i="1" l="1"/>
  <c r="HD127" i="1"/>
  <c r="HD131" i="1" s="1"/>
  <c r="HC132" i="1"/>
  <c r="IW121" i="1"/>
  <c r="CZ99" i="1"/>
  <c r="DA103" i="1" s="1"/>
  <c r="CZ108" i="1"/>
  <c r="CZ113" i="1" s="1"/>
  <c r="HD132" i="1" l="1"/>
  <c r="HD134" i="1" s="1"/>
  <c r="HE127" i="1"/>
  <c r="HE131" i="1" s="1"/>
  <c r="HC134" i="1"/>
  <c r="CZ114" i="1"/>
  <c r="IX121" i="1"/>
  <c r="CZ100" i="1"/>
  <c r="DA104" i="1"/>
  <c r="DA109" i="1"/>
  <c r="HF127" i="1" l="1"/>
  <c r="HF131" i="1" s="1"/>
  <c r="CZ116" i="1"/>
  <c r="HE132" i="1"/>
  <c r="IY121" i="1"/>
  <c r="DA99" i="1"/>
  <c r="DB103" i="1" s="1"/>
  <c r="DA108" i="1"/>
  <c r="DA113" i="1" s="1"/>
  <c r="DA114" i="1" s="1"/>
  <c r="HF132" i="1" l="1"/>
  <c r="HF134" i="1" s="1"/>
  <c r="HG127" i="1"/>
  <c r="HG131" i="1" s="1"/>
  <c r="HE134" i="1"/>
  <c r="IZ121" i="1"/>
  <c r="DA100" i="1"/>
  <c r="DA116" i="1" s="1"/>
  <c r="DB104" i="1"/>
  <c r="DB109" i="1"/>
  <c r="HG132" i="1" l="1"/>
  <c r="HG134" i="1" s="1"/>
  <c r="HH127" i="1"/>
  <c r="HH131" i="1" s="1"/>
  <c r="JA121" i="1"/>
  <c r="DB99" i="1"/>
  <c r="DC103" i="1" s="1"/>
  <c r="DB108" i="1"/>
  <c r="DB113" i="1" s="1"/>
  <c r="DB114" i="1" s="1"/>
  <c r="HH132" i="1" l="1"/>
  <c r="HH134" i="1" s="1"/>
  <c r="HI127" i="1"/>
  <c r="HI131" i="1" s="1"/>
  <c r="JB121" i="1"/>
  <c r="DB100" i="1"/>
  <c r="DB116" i="1" s="1"/>
  <c r="DC104" i="1"/>
  <c r="DC109" i="1"/>
  <c r="HI132" i="1" l="1"/>
  <c r="HI134" i="1" s="1"/>
  <c r="HJ127" i="1"/>
  <c r="HJ131" i="1" s="1"/>
  <c r="JC121" i="1"/>
  <c r="DC99" i="1"/>
  <c r="DD103" i="1" s="1"/>
  <c r="DC108" i="1"/>
  <c r="DC113" i="1" s="1"/>
  <c r="DC114" i="1" s="1"/>
  <c r="HJ132" i="1" l="1"/>
  <c r="HJ134" i="1" s="1"/>
  <c r="HK127" i="1"/>
  <c r="HK131" i="1" s="1"/>
  <c r="JD121" i="1"/>
  <c r="DC100" i="1"/>
  <c r="DC116" i="1" s="1"/>
  <c r="DD104" i="1"/>
  <c r="DD109" i="1"/>
  <c r="HL127" i="1" l="1"/>
  <c r="HL131" i="1" s="1"/>
  <c r="HK132" i="1"/>
  <c r="JE121" i="1"/>
  <c r="DD99" i="1"/>
  <c r="DE103" i="1" s="1"/>
  <c r="DD108" i="1"/>
  <c r="DD113" i="1" s="1"/>
  <c r="DD114" i="1" s="1"/>
  <c r="HM127" i="1" l="1"/>
  <c r="HM131" i="1" s="1"/>
  <c r="HK134" i="1"/>
  <c r="HL132" i="1"/>
  <c r="HL134" i="1" s="1"/>
  <c r="JF121" i="1"/>
  <c r="DD100" i="1"/>
  <c r="DD116" i="1" s="1"/>
  <c r="DE104" i="1"/>
  <c r="DE109" i="1"/>
  <c r="HN127" i="1" l="1"/>
  <c r="HN131" i="1" s="1"/>
  <c r="HM132" i="1"/>
  <c r="JG121" i="1"/>
  <c r="DE99" i="1"/>
  <c r="DF103" i="1" s="1"/>
  <c r="DE108" i="1"/>
  <c r="DE113" i="1" s="1"/>
  <c r="DE114" i="1" s="1"/>
  <c r="HO127" i="1" l="1"/>
  <c r="HO131" i="1" s="1"/>
  <c r="HM134" i="1"/>
  <c r="HN132" i="1"/>
  <c r="HN134" i="1" s="1"/>
  <c r="JH121" i="1"/>
  <c r="DE100" i="1"/>
  <c r="DE116" i="1" s="1"/>
  <c r="DF104" i="1"/>
  <c r="DF109" i="1"/>
  <c r="HP127" i="1" l="1"/>
  <c r="HP131" i="1" s="1"/>
  <c r="HO132" i="1"/>
  <c r="JI121" i="1"/>
  <c r="DF99" i="1"/>
  <c r="DF108" i="1"/>
  <c r="DF113" i="1" s="1"/>
  <c r="DF114" i="1" s="1"/>
  <c r="HQ127" i="1" l="1"/>
  <c r="HQ131" i="1" s="1"/>
  <c r="HO134" i="1"/>
  <c r="HP132" i="1"/>
  <c r="HP134" i="1" s="1"/>
  <c r="JJ121" i="1"/>
  <c r="DG103" i="1"/>
  <c r="DG109" i="1" s="1"/>
  <c r="K50" i="1"/>
  <c r="DF100" i="1"/>
  <c r="HR127" i="1" l="1"/>
  <c r="HR131" i="1" s="1"/>
  <c r="HQ132" i="1"/>
  <c r="JK121" i="1"/>
  <c r="DG104" i="1"/>
  <c r="DG99" i="1" s="1"/>
  <c r="DH103" i="1" s="1"/>
  <c r="DF116" i="1"/>
  <c r="K51" i="1"/>
  <c r="HR132" i="1" l="1"/>
  <c r="HR134" i="1" s="1"/>
  <c r="HS127" i="1"/>
  <c r="HS131" i="1" s="1"/>
  <c r="HQ134" i="1"/>
  <c r="DG108" i="1"/>
  <c r="DG113" i="1" s="1"/>
  <c r="JL121" i="1"/>
  <c r="DG100" i="1"/>
  <c r="DH104" i="1"/>
  <c r="DH109" i="1"/>
  <c r="HS132" i="1" l="1"/>
  <c r="HS134" i="1" s="1"/>
  <c r="HT127" i="1"/>
  <c r="HT131" i="1" s="1"/>
  <c r="DG114" i="1"/>
  <c r="DG116" i="1" s="1"/>
  <c r="JM121" i="1"/>
  <c r="DH99" i="1"/>
  <c r="DI103" i="1" s="1"/>
  <c r="DH108" i="1"/>
  <c r="HT132" i="1" l="1"/>
  <c r="HT134" i="1" s="1"/>
  <c r="HU127" i="1"/>
  <c r="HU131" i="1" s="1"/>
  <c r="JN121" i="1"/>
  <c r="DH113" i="1"/>
  <c r="DH100" i="1"/>
  <c r="DI104" i="1"/>
  <c r="DI109" i="1"/>
  <c r="HU132" i="1" l="1"/>
  <c r="HU134" i="1" s="1"/>
  <c r="HV127" i="1"/>
  <c r="HV131" i="1" s="1"/>
  <c r="DH114" i="1"/>
  <c r="DH116" i="1" s="1"/>
  <c r="JO121" i="1"/>
  <c r="DI99" i="1"/>
  <c r="DJ103" i="1" s="1"/>
  <c r="DI108" i="1"/>
  <c r="HV132" i="1" l="1"/>
  <c r="HV134" i="1" s="1"/>
  <c r="HW127" i="1"/>
  <c r="HW131" i="1" s="1"/>
  <c r="JP121" i="1"/>
  <c r="DI113" i="1"/>
  <c r="DI100" i="1"/>
  <c r="DJ104" i="1"/>
  <c r="DJ109" i="1"/>
  <c r="HX127" i="1" l="1"/>
  <c r="HX131" i="1" s="1"/>
  <c r="HW132" i="1"/>
  <c r="DI114" i="1"/>
  <c r="DI116" i="1" s="1"/>
  <c r="JQ121" i="1"/>
  <c r="DJ99" i="1"/>
  <c r="DK103" i="1" s="1"/>
  <c r="DJ108" i="1"/>
  <c r="HX132" i="1" l="1"/>
  <c r="HX134" i="1" s="1"/>
  <c r="HY127" i="1"/>
  <c r="HY131" i="1" s="1"/>
  <c r="HW134" i="1"/>
  <c r="JR121" i="1"/>
  <c r="DJ113" i="1"/>
  <c r="DJ100" i="1"/>
  <c r="DK104" i="1"/>
  <c r="DK109" i="1"/>
  <c r="HZ127" i="1" l="1"/>
  <c r="HZ131" i="1" s="1"/>
  <c r="HY132" i="1"/>
  <c r="DJ114" i="1"/>
  <c r="DJ116" i="1" s="1"/>
  <c r="JS121" i="1"/>
  <c r="DK99" i="1"/>
  <c r="DL103" i="1" s="1"/>
  <c r="DK108" i="1"/>
  <c r="DK113" i="1" s="1"/>
  <c r="HZ132" i="1" l="1"/>
  <c r="HZ134" i="1" s="1"/>
  <c r="IA127" i="1"/>
  <c r="IA131" i="1" s="1"/>
  <c r="HY134" i="1"/>
  <c r="DK114" i="1"/>
  <c r="JT121" i="1"/>
  <c r="DK100" i="1"/>
  <c r="DL104" i="1"/>
  <c r="DL109" i="1"/>
  <c r="IB127" i="1" l="1"/>
  <c r="IB131" i="1" s="1"/>
  <c r="IA132" i="1"/>
  <c r="DK116" i="1"/>
  <c r="JU121" i="1"/>
  <c r="DL99" i="1"/>
  <c r="DM103" i="1" s="1"/>
  <c r="DL108" i="1"/>
  <c r="DL113" i="1" s="1"/>
  <c r="IC127" i="1" l="1"/>
  <c r="IA134" i="1"/>
  <c r="IB132" i="1"/>
  <c r="IB134" i="1" s="1"/>
  <c r="DL114" i="1"/>
  <c r="IC131" i="1"/>
  <c r="JV121" i="1"/>
  <c r="DL100" i="1"/>
  <c r="DM104" i="1"/>
  <c r="DM109" i="1"/>
  <c r="ID127" i="1" l="1"/>
  <c r="ID131" i="1" s="1"/>
  <c r="DL116" i="1"/>
  <c r="IC132" i="1"/>
  <c r="JW121" i="1"/>
  <c r="DM99" i="1"/>
  <c r="DN103" i="1" s="1"/>
  <c r="DM108" i="1"/>
  <c r="DM113" i="1" s="1"/>
  <c r="DM114" i="1" s="1"/>
  <c r="IE127" i="1" l="1"/>
  <c r="IE131" i="1" s="1"/>
  <c r="IC134" i="1"/>
  <c r="ID132" i="1"/>
  <c r="ID134" i="1" s="1"/>
  <c r="JX121" i="1"/>
  <c r="DM100" i="1"/>
  <c r="DM116" i="1" s="1"/>
  <c r="DN104" i="1"/>
  <c r="DN109" i="1"/>
  <c r="IF127" i="1" l="1"/>
  <c r="IF131" i="1" s="1"/>
  <c r="IE132" i="1"/>
  <c r="JY121" i="1"/>
  <c r="DN99" i="1"/>
  <c r="DO103" i="1" s="1"/>
  <c r="DN108" i="1"/>
  <c r="DN113" i="1" s="1"/>
  <c r="DN114" i="1" s="1"/>
  <c r="IG127" i="1" l="1"/>
  <c r="IG131" i="1" s="1"/>
  <c r="IE134" i="1"/>
  <c r="IF132" i="1"/>
  <c r="IF134" i="1" s="1"/>
  <c r="JZ121" i="1"/>
  <c r="DN100" i="1"/>
  <c r="DN116" i="1" s="1"/>
  <c r="DO104" i="1"/>
  <c r="DO109" i="1"/>
  <c r="IH127" i="1" l="1"/>
  <c r="IH131" i="1" s="1"/>
  <c r="IG132" i="1"/>
  <c r="IG134" i="1" s="1"/>
  <c r="KA121" i="1"/>
  <c r="DO99" i="1"/>
  <c r="DP103" i="1" s="1"/>
  <c r="DO108" i="1"/>
  <c r="DO113" i="1" s="1"/>
  <c r="DO114" i="1" s="1"/>
  <c r="II127" i="1" l="1"/>
  <c r="II131" i="1" s="1"/>
  <c r="IH132" i="1"/>
  <c r="KB121" i="1"/>
  <c r="DO100" i="1"/>
  <c r="DO116" i="1" s="1"/>
  <c r="DP104" i="1"/>
  <c r="DP109" i="1"/>
  <c r="IJ127" i="1" l="1"/>
  <c r="IJ131" i="1" s="1"/>
  <c r="IH134" i="1"/>
  <c r="II132" i="1"/>
  <c r="KC121" i="1"/>
  <c r="DP99" i="1"/>
  <c r="DQ103" i="1" s="1"/>
  <c r="DP108" i="1"/>
  <c r="DP113" i="1" s="1"/>
  <c r="DP114" i="1" s="1"/>
  <c r="IK127" i="1" l="1"/>
  <c r="IK131" i="1" s="1"/>
  <c r="II134" i="1"/>
  <c r="IJ132" i="1"/>
  <c r="KD121" i="1"/>
  <c r="DP100" i="1"/>
  <c r="DP116" i="1" s="1"/>
  <c r="DQ104" i="1"/>
  <c r="DQ109" i="1"/>
  <c r="IL127" i="1" l="1"/>
  <c r="IL131" i="1" s="1"/>
  <c r="IJ134" i="1"/>
  <c r="IK132" i="1"/>
  <c r="KE121" i="1"/>
  <c r="DQ99" i="1"/>
  <c r="DR103" i="1" s="1"/>
  <c r="DQ108" i="1"/>
  <c r="DQ113" i="1" s="1"/>
  <c r="DQ114" i="1" s="1"/>
  <c r="IM127" i="1" l="1"/>
  <c r="IM131" i="1" s="1"/>
  <c r="IL132" i="1"/>
  <c r="IK134" i="1"/>
  <c r="KF121" i="1"/>
  <c r="DQ100" i="1"/>
  <c r="DQ116" i="1" s="1"/>
  <c r="DR104" i="1"/>
  <c r="DR109" i="1"/>
  <c r="IN127" i="1" l="1"/>
  <c r="IN131" i="1" s="1"/>
  <c r="IM132" i="1"/>
  <c r="IL134" i="1"/>
  <c r="KG121" i="1"/>
  <c r="DR99" i="1"/>
  <c r="DR108" i="1"/>
  <c r="DR113" i="1" s="1"/>
  <c r="DR114" i="1" s="1"/>
  <c r="IO127" i="1" l="1"/>
  <c r="IO131" i="1" s="1"/>
  <c r="IN132" i="1"/>
  <c r="IM134" i="1"/>
  <c r="KH121" i="1"/>
  <c r="DS103" i="1"/>
  <c r="DS109" i="1" s="1"/>
  <c r="L50" i="1"/>
  <c r="DR100" i="1"/>
  <c r="IP127" i="1" l="1"/>
  <c r="IP131" i="1" s="1"/>
  <c r="IO132" i="1"/>
  <c r="IN134" i="1"/>
  <c r="KI121" i="1"/>
  <c r="DS104" i="1"/>
  <c r="DS99" i="1" s="1"/>
  <c r="DT103" i="1" s="1"/>
  <c r="DR116" i="1"/>
  <c r="L51" i="1"/>
  <c r="IQ127" i="1" l="1"/>
  <c r="IQ131" i="1" s="1"/>
  <c r="IO134" i="1"/>
  <c r="IP132" i="1"/>
  <c r="DS108" i="1"/>
  <c r="DS113" i="1" s="1"/>
  <c r="KJ121" i="1"/>
  <c r="DS100" i="1"/>
  <c r="DT104" i="1"/>
  <c r="DT109" i="1"/>
  <c r="IR127" i="1" l="1"/>
  <c r="IR131" i="1" s="1"/>
  <c r="IQ132" i="1"/>
  <c r="IP134" i="1"/>
  <c r="DS114" i="1"/>
  <c r="DS116" i="1" s="1"/>
  <c r="KK121" i="1"/>
  <c r="DT99" i="1"/>
  <c r="DU103" i="1" s="1"/>
  <c r="DT108" i="1"/>
  <c r="IS127" i="1" l="1"/>
  <c r="IS131" i="1" s="1"/>
  <c r="IQ134" i="1"/>
  <c r="IR132" i="1"/>
  <c r="KL121" i="1"/>
  <c r="DT113" i="1"/>
  <c r="DT100" i="1"/>
  <c r="DU104" i="1"/>
  <c r="DU109" i="1"/>
  <c r="IT127" i="1" l="1"/>
  <c r="IT131" i="1" s="1"/>
  <c r="IR134" i="1"/>
  <c r="IS132" i="1"/>
  <c r="DT114" i="1"/>
  <c r="DT116" i="1" s="1"/>
  <c r="KM121" i="1"/>
  <c r="DU99" i="1"/>
  <c r="DV103" i="1" s="1"/>
  <c r="DU108" i="1"/>
  <c r="IU127" i="1" l="1"/>
  <c r="IU131" i="1" s="1"/>
  <c r="IS134" i="1"/>
  <c r="IT132" i="1"/>
  <c r="KN121" i="1"/>
  <c r="DU113" i="1"/>
  <c r="DU100" i="1"/>
  <c r="DV104" i="1"/>
  <c r="DV109" i="1"/>
  <c r="IV127" i="1" l="1"/>
  <c r="IV131" i="1" s="1"/>
  <c r="IT134" i="1"/>
  <c r="IU132" i="1"/>
  <c r="DU114" i="1"/>
  <c r="DU116" i="1" s="1"/>
  <c r="KO121" i="1"/>
  <c r="DV99" i="1"/>
  <c r="DW103" i="1" s="1"/>
  <c r="DV108" i="1"/>
  <c r="IW127" i="1" l="1"/>
  <c r="IW131" i="1" s="1"/>
  <c r="IV132" i="1"/>
  <c r="IU134" i="1"/>
  <c r="KP121" i="1"/>
  <c r="DV113" i="1"/>
  <c r="DV100" i="1"/>
  <c r="DW104" i="1"/>
  <c r="DW109" i="1"/>
  <c r="IX127" i="1" l="1"/>
  <c r="IX131" i="1" s="1"/>
  <c r="IV134" i="1"/>
  <c r="IW132" i="1"/>
  <c r="DV114" i="1"/>
  <c r="DV116" i="1" s="1"/>
  <c r="KQ121" i="1"/>
  <c r="DW99" i="1"/>
  <c r="DX103" i="1" s="1"/>
  <c r="DW108" i="1"/>
  <c r="DW113" i="1" s="1"/>
  <c r="DW114" i="1" l="1"/>
  <c r="IY127" i="1"/>
  <c r="IY131" i="1" s="1"/>
  <c r="IW134" i="1"/>
  <c r="IX132" i="1"/>
  <c r="KR121" i="1"/>
  <c r="DW100" i="1"/>
  <c r="DX104" i="1"/>
  <c r="DX109" i="1"/>
  <c r="DW116" i="1" l="1"/>
  <c r="IZ127" i="1"/>
  <c r="IZ131" i="1" s="1"/>
  <c r="IY132" i="1"/>
  <c r="IX134" i="1"/>
  <c r="KS121" i="1"/>
  <c r="DX99" i="1"/>
  <c r="DY103" i="1" s="1"/>
  <c r="DX108" i="1"/>
  <c r="DX113" i="1" s="1"/>
  <c r="JA127" i="1" l="1"/>
  <c r="JA131" i="1" s="1"/>
  <c r="IY134" i="1"/>
  <c r="IZ132" i="1"/>
  <c r="DX114" i="1"/>
  <c r="KT121" i="1"/>
  <c r="DX100" i="1"/>
  <c r="DY104" i="1"/>
  <c r="DY109" i="1"/>
  <c r="JB127" i="1" l="1"/>
  <c r="JB131" i="1" s="1"/>
  <c r="DX116" i="1"/>
  <c r="IZ134" i="1"/>
  <c r="JA132" i="1"/>
  <c r="KU121" i="1"/>
  <c r="DY99" i="1"/>
  <c r="DZ103" i="1" s="1"/>
  <c r="DY108" i="1"/>
  <c r="DY113" i="1" s="1"/>
  <c r="DY114" i="1" s="1"/>
  <c r="JC127" i="1" l="1"/>
  <c r="JC131" i="1" s="1"/>
  <c r="JA134" i="1"/>
  <c r="JB132" i="1"/>
  <c r="KV121" i="1"/>
  <c r="DY100" i="1"/>
  <c r="DY116" i="1" s="1"/>
  <c r="DZ104" i="1"/>
  <c r="DZ109" i="1"/>
  <c r="JD127" i="1" l="1"/>
  <c r="JD131" i="1" s="1"/>
  <c r="JC132" i="1"/>
  <c r="JB134" i="1"/>
  <c r="KW121" i="1"/>
  <c r="DZ99" i="1"/>
  <c r="EA103" i="1" s="1"/>
  <c r="DZ108" i="1"/>
  <c r="DZ113" i="1" s="1"/>
  <c r="DZ114" i="1" s="1"/>
  <c r="JE127" i="1" l="1"/>
  <c r="JE131" i="1" s="1"/>
  <c r="JD132" i="1"/>
  <c r="JC134" i="1"/>
  <c r="KX121" i="1"/>
  <c r="DZ100" i="1"/>
  <c r="DZ116" i="1" s="1"/>
  <c r="EA104" i="1"/>
  <c r="EA109" i="1"/>
  <c r="JF127" i="1" l="1"/>
  <c r="JF131" i="1" s="1"/>
  <c r="JD134" i="1"/>
  <c r="JE132" i="1"/>
  <c r="KY121" i="1"/>
  <c r="EA99" i="1"/>
  <c r="EB103" i="1" s="1"/>
  <c r="EA108" i="1"/>
  <c r="EA113" i="1" s="1"/>
  <c r="EA114" i="1" s="1"/>
  <c r="JG127" i="1" l="1"/>
  <c r="JG131" i="1" s="1"/>
  <c r="JF132" i="1"/>
  <c r="JE134" i="1"/>
  <c r="KZ121" i="1"/>
  <c r="EA100" i="1"/>
  <c r="EA116" i="1" s="1"/>
  <c r="EB104" i="1"/>
  <c r="EB109" i="1"/>
  <c r="JH127" i="1" l="1"/>
  <c r="JH131" i="1" s="1"/>
  <c r="JG132" i="1"/>
  <c r="JF134" i="1"/>
  <c r="LA121" i="1"/>
  <c r="EB99" i="1"/>
  <c r="EC103" i="1" s="1"/>
  <c r="EB108" i="1"/>
  <c r="EB113" i="1" s="1"/>
  <c r="EB114" i="1" s="1"/>
  <c r="JI127" i="1" l="1"/>
  <c r="JI131" i="1" s="1"/>
  <c r="JG134" i="1"/>
  <c r="JH132" i="1"/>
  <c r="LB121" i="1"/>
  <c r="EB100" i="1"/>
  <c r="EB116" i="1" s="1"/>
  <c r="EC104" i="1"/>
  <c r="EC109" i="1"/>
  <c r="JJ127" i="1" l="1"/>
  <c r="JJ131" i="1" s="1"/>
  <c r="JH134" i="1"/>
  <c r="JI132" i="1"/>
  <c r="LC121" i="1"/>
  <c r="EC99" i="1"/>
  <c r="ED103" i="1" s="1"/>
  <c r="EC108" i="1"/>
  <c r="EC113" i="1" s="1"/>
  <c r="EC114" i="1" s="1"/>
  <c r="JK127" i="1" l="1"/>
  <c r="JK131" i="1" s="1"/>
  <c r="JI134" i="1"/>
  <c r="JJ132" i="1"/>
  <c r="LD121" i="1"/>
  <c r="EC100" i="1"/>
  <c r="EC116" i="1" s="1"/>
  <c r="ED104" i="1"/>
  <c r="ED109" i="1"/>
  <c r="JL127" i="1" l="1"/>
  <c r="JL131" i="1" s="1"/>
  <c r="JK132" i="1"/>
  <c r="JJ134" i="1"/>
  <c r="LE121" i="1"/>
  <c r="ED99" i="1"/>
  <c r="ED108" i="1"/>
  <c r="ED113" i="1" s="1"/>
  <c r="ED114" i="1" s="1"/>
  <c r="JM127" i="1" l="1"/>
  <c r="JM131" i="1" s="1"/>
  <c r="JK134" i="1"/>
  <c r="JL132" i="1"/>
  <c r="LF121" i="1"/>
  <c r="EE103" i="1"/>
  <c r="EE109" i="1" s="1"/>
  <c r="M50" i="1"/>
  <c r="ED100" i="1"/>
  <c r="JN127" i="1" l="1"/>
  <c r="JN131" i="1" s="1"/>
  <c r="JL134" i="1"/>
  <c r="JM132" i="1"/>
  <c r="LG121" i="1"/>
  <c r="EE104" i="1"/>
  <c r="EE99" i="1" s="1"/>
  <c r="EF103" i="1" s="1"/>
  <c r="ED116" i="1"/>
  <c r="M51" i="1"/>
  <c r="JO127" i="1" l="1"/>
  <c r="JO131" i="1" s="1"/>
  <c r="JM134" i="1"/>
  <c r="JN132" i="1"/>
  <c r="EE108" i="1"/>
  <c r="EE113" i="1" s="1"/>
  <c r="LH121" i="1"/>
  <c r="EE100" i="1"/>
  <c r="EF104" i="1"/>
  <c r="EF109" i="1"/>
  <c r="JP127" i="1" l="1"/>
  <c r="JP131" i="1" s="1"/>
  <c r="JO132" i="1"/>
  <c r="JN134" i="1"/>
  <c r="EE114" i="1"/>
  <c r="EE116" i="1" s="1"/>
  <c r="LI121" i="1"/>
  <c r="EF99" i="1"/>
  <c r="EG103" i="1" s="1"/>
  <c r="EF108" i="1"/>
  <c r="JQ127" i="1" l="1"/>
  <c r="JQ131" i="1" s="1"/>
  <c r="JP132" i="1"/>
  <c r="JO134" i="1"/>
  <c r="LJ121" i="1"/>
  <c r="EF113" i="1"/>
  <c r="EF100" i="1"/>
  <c r="EG104" i="1"/>
  <c r="EG109" i="1"/>
  <c r="JR127" i="1" l="1"/>
  <c r="JR131" i="1" s="1"/>
  <c r="JP134" i="1"/>
  <c r="JQ132" i="1"/>
  <c r="EF114" i="1"/>
  <c r="EF116" i="1" s="1"/>
  <c r="LK121" i="1"/>
  <c r="EG99" i="1"/>
  <c r="EH103" i="1" s="1"/>
  <c r="EG108" i="1"/>
  <c r="JS127" i="1" l="1"/>
  <c r="JS131" i="1" s="1"/>
  <c r="JR132" i="1"/>
  <c r="JQ134" i="1"/>
  <c r="LL121" i="1"/>
  <c r="EG113" i="1"/>
  <c r="EG100" i="1"/>
  <c r="EH104" i="1"/>
  <c r="EH109" i="1"/>
  <c r="JT127" i="1" l="1"/>
  <c r="JT131" i="1" s="1"/>
  <c r="JR134" i="1"/>
  <c r="JS132" i="1"/>
  <c r="EG114" i="1"/>
  <c r="EG116" i="1" s="1"/>
  <c r="LM121" i="1"/>
  <c r="EH99" i="1"/>
  <c r="EI103" i="1" s="1"/>
  <c r="EH108" i="1"/>
  <c r="JU127" i="1" l="1"/>
  <c r="JU131" i="1" s="1"/>
  <c r="JT132" i="1"/>
  <c r="JS134" i="1"/>
  <c r="LN121" i="1"/>
  <c r="EH113" i="1"/>
  <c r="EH100" i="1"/>
  <c r="EI104" i="1"/>
  <c r="EI109" i="1"/>
  <c r="JV127" i="1" l="1"/>
  <c r="JV131" i="1" s="1"/>
  <c r="JT134" i="1"/>
  <c r="JU132" i="1"/>
  <c r="EH114" i="1"/>
  <c r="EH116" i="1" s="1"/>
  <c r="LO121" i="1"/>
  <c r="EI99" i="1"/>
  <c r="EJ103" i="1" s="1"/>
  <c r="EI108" i="1"/>
  <c r="EI113" i="1" s="1"/>
  <c r="JW127" i="1" l="1"/>
  <c r="JW131" i="1" s="1"/>
  <c r="JV132" i="1"/>
  <c r="JU134" i="1"/>
  <c r="EI114" i="1"/>
  <c r="LP121" i="1"/>
  <c r="EI100" i="1"/>
  <c r="EJ104" i="1"/>
  <c r="EJ109" i="1"/>
  <c r="JX127" i="1" l="1"/>
  <c r="JX131" i="1" s="1"/>
  <c r="JW132" i="1"/>
  <c r="JV134" i="1"/>
  <c r="EI116" i="1"/>
  <c r="LQ121" i="1"/>
  <c r="EJ99" i="1"/>
  <c r="EK103" i="1" s="1"/>
  <c r="EJ108" i="1"/>
  <c r="EJ113" i="1" s="1"/>
  <c r="JY127" i="1" l="1"/>
  <c r="JY131" i="1" s="1"/>
  <c r="JW134" i="1"/>
  <c r="JX132" i="1"/>
  <c r="EJ114" i="1"/>
  <c r="LR121" i="1"/>
  <c r="EJ100" i="1"/>
  <c r="EK104" i="1"/>
  <c r="EK109" i="1"/>
  <c r="JZ127" i="1" l="1"/>
  <c r="JZ131" i="1" s="1"/>
  <c r="JY132" i="1"/>
  <c r="JX134" i="1"/>
  <c r="EJ116" i="1"/>
  <c r="LS121" i="1"/>
  <c r="EK99" i="1"/>
  <c r="EL103" i="1" s="1"/>
  <c r="EK108" i="1"/>
  <c r="EK113" i="1" s="1"/>
  <c r="EK114" i="1" s="1"/>
  <c r="KA127" i="1" l="1"/>
  <c r="KA131" i="1" s="1"/>
  <c r="JY134" i="1"/>
  <c r="JZ132" i="1"/>
  <c r="LT121" i="1"/>
  <c r="EK100" i="1"/>
  <c r="EK116" i="1" s="1"/>
  <c r="EL104" i="1"/>
  <c r="EL109" i="1"/>
  <c r="KB127" i="1" l="1"/>
  <c r="KB131" i="1" s="1"/>
  <c r="KA132" i="1"/>
  <c r="JZ134" i="1"/>
  <c r="LU121" i="1"/>
  <c r="EL99" i="1"/>
  <c r="EM103" i="1" s="1"/>
  <c r="EL108" i="1"/>
  <c r="EL113" i="1" s="1"/>
  <c r="EL114" i="1" s="1"/>
  <c r="KC127" i="1" l="1"/>
  <c r="KC131" i="1" s="1"/>
  <c r="KB132" i="1"/>
  <c r="KA134" i="1"/>
  <c r="LV121" i="1"/>
  <c r="EL100" i="1"/>
  <c r="EL116" i="1" s="1"/>
  <c r="EM104" i="1"/>
  <c r="EM109" i="1"/>
  <c r="KD127" i="1" l="1"/>
  <c r="KD131" i="1" s="1"/>
  <c r="KC132" i="1"/>
  <c r="KB134" i="1"/>
  <c r="LW121" i="1"/>
  <c r="EM99" i="1"/>
  <c r="EN103" i="1" s="1"/>
  <c r="EM108" i="1"/>
  <c r="EM113" i="1" s="1"/>
  <c r="EM114" i="1" s="1"/>
  <c r="KE127" i="1" l="1"/>
  <c r="KE131" i="1" s="1"/>
  <c r="KD132" i="1"/>
  <c r="KC134" i="1"/>
  <c r="LX121" i="1"/>
  <c r="EM100" i="1"/>
  <c r="EM116" i="1" s="1"/>
  <c r="EN104" i="1"/>
  <c r="EN109" i="1"/>
  <c r="KF127" i="1" l="1"/>
  <c r="KF131" i="1" s="1"/>
  <c r="KE132" i="1"/>
  <c r="KD134" i="1"/>
  <c r="LY121" i="1"/>
  <c r="EN99" i="1"/>
  <c r="EO103" i="1" s="1"/>
  <c r="EN108" i="1"/>
  <c r="EN113" i="1" s="1"/>
  <c r="EN114" i="1" s="1"/>
  <c r="KG127" i="1" l="1"/>
  <c r="KG131" i="1" s="1"/>
  <c r="KF132" i="1"/>
  <c r="KE134" i="1"/>
  <c r="LZ121" i="1"/>
  <c r="EN100" i="1"/>
  <c r="EN116" i="1" s="1"/>
  <c r="EO104" i="1"/>
  <c r="EO109" i="1"/>
  <c r="KH127" i="1" l="1"/>
  <c r="KH131" i="1" s="1"/>
  <c r="KF134" i="1"/>
  <c r="KG132" i="1"/>
  <c r="MA121" i="1"/>
  <c r="EO99" i="1"/>
  <c r="EP103" i="1" s="1"/>
  <c r="EO108" i="1"/>
  <c r="EO113" i="1" s="1"/>
  <c r="EO114" i="1" s="1"/>
  <c r="KI127" i="1" l="1"/>
  <c r="KI131" i="1" s="1"/>
  <c r="KH132" i="1"/>
  <c r="KG134" i="1"/>
  <c r="MB121" i="1"/>
  <c r="EO100" i="1"/>
  <c r="EO116" i="1" s="1"/>
  <c r="EP104" i="1"/>
  <c r="EP109" i="1"/>
  <c r="KJ127" i="1" l="1"/>
  <c r="KJ131" i="1" s="1"/>
  <c r="KI132" i="1"/>
  <c r="KH134" i="1"/>
  <c r="MC121" i="1"/>
  <c r="EP99" i="1"/>
  <c r="EP108" i="1"/>
  <c r="EP113" i="1" s="1"/>
  <c r="EP114" i="1" s="1"/>
  <c r="KK127" i="1" l="1"/>
  <c r="KK131" i="1" s="1"/>
  <c r="KI134" i="1"/>
  <c r="KJ132" i="1"/>
  <c r="MD121" i="1"/>
  <c r="EQ103" i="1"/>
  <c r="EQ109" i="1" s="1"/>
  <c r="N50" i="1"/>
  <c r="EP100" i="1"/>
  <c r="KL127" i="1" l="1"/>
  <c r="KL131" i="1" s="1"/>
  <c r="KJ134" i="1"/>
  <c r="KK132" i="1"/>
  <c r="ME121" i="1"/>
  <c r="EQ104" i="1"/>
  <c r="EQ99" i="1" s="1"/>
  <c r="ER103" i="1" s="1"/>
  <c r="EP116" i="1"/>
  <c r="N51" i="1"/>
  <c r="KM127" i="1" l="1"/>
  <c r="KM131" i="1" s="1"/>
  <c r="EQ108" i="1"/>
  <c r="EQ113" i="1" s="1"/>
  <c r="KK134" i="1"/>
  <c r="KL132" i="1"/>
  <c r="MF121" i="1"/>
  <c r="EQ100" i="1"/>
  <c r="ER104" i="1"/>
  <c r="ER109" i="1"/>
  <c r="KN127" i="1" l="1"/>
  <c r="KN131" i="1" s="1"/>
  <c r="KM132" i="1"/>
  <c r="KL134" i="1"/>
  <c r="EQ114" i="1"/>
  <c r="EQ116" i="1" s="1"/>
  <c r="MG121" i="1"/>
  <c r="ER99" i="1"/>
  <c r="ER100" i="1" s="1"/>
  <c r="ER108" i="1"/>
  <c r="KO127" i="1" l="1"/>
  <c r="KO131" i="1" s="1"/>
  <c r="KM134" i="1"/>
  <c r="KN132" i="1"/>
  <c r="MH121" i="1"/>
  <c r="ER113" i="1"/>
  <c r="ES103" i="1"/>
  <c r="KP127" i="1" l="1"/>
  <c r="KP131" i="1" s="1"/>
  <c r="KN134" i="1"/>
  <c r="KO132" i="1"/>
  <c r="ER114" i="1"/>
  <c r="ER116" i="1" s="1"/>
  <c r="MI121" i="1"/>
  <c r="ES104" i="1"/>
  <c r="ES108" i="1" s="1"/>
  <c r="ES109" i="1"/>
  <c r="KQ127" i="1" l="1"/>
  <c r="KQ131" i="1" s="1"/>
  <c r="KO134" i="1"/>
  <c r="KP132" i="1"/>
  <c r="ES99" i="1"/>
  <c r="ET103" i="1" s="1"/>
  <c r="ET104" i="1" s="1"/>
  <c r="MJ121" i="1"/>
  <c r="ES113" i="1"/>
  <c r="KR127" i="1" l="1"/>
  <c r="KR131" i="1" s="1"/>
  <c r="ET109" i="1"/>
  <c r="KP134" i="1"/>
  <c r="KQ132" i="1"/>
  <c r="ES100" i="1"/>
  <c r="ES114" i="1"/>
  <c r="MK121" i="1"/>
  <c r="ET99" i="1"/>
  <c r="EU103" i="1" s="1"/>
  <c r="ET108" i="1"/>
  <c r="ET113" i="1" l="1"/>
  <c r="ET114" i="1" s="1"/>
  <c r="KS127" i="1"/>
  <c r="KS131" i="1" s="1"/>
  <c r="ES116" i="1"/>
  <c r="KQ134" i="1"/>
  <c r="KR132" i="1"/>
  <c r="ML121" i="1"/>
  <c r="ET100" i="1"/>
  <c r="EU104" i="1"/>
  <c r="EU109" i="1"/>
  <c r="ET116" i="1" l="1"/>
  <c r="KT127" i="1"/>
  <c r="KT131" i="1" s="1"/>
  <c r="KR134" i="1"/>
  <c r="KS132" i="1"/>
  <c r="MM121" i="1"/>
  <c r="EU99" i="1"/>
  <c r="EV103" i="1" s="1"/>
  <c r="EU108" i="1"/>
  <c r="EU113" i="1" s="1"/>
  <c r="KU127" i="1" l="1"/>
  <c r="KU131" i="1" s="1"/>
  <c r="KS134" i="1"/>
  <c r="KT132" i="1"/>
  <c r="EU114" i="1"/>
  <c r="MN121" i="1"/>
  <c r="EU100" i="1"/>
  <c r="EV104" i="1"/>
  <c r="EV109" i="1"/>
  <c r="KV127" i="1" l="1"/>
  <c r="KV131" i="1" s="1"/>
  <c r="KU132" i="1"/>
  <c r="KT134" i="1"/>
  <c r="EU116" i="1"/>
  <c r="MO121" i="1"/>
  <c r="EV99" i="1"/>
  <c r="EW103" i="1" s="1"/>
  <c r="EV108" i="1"/>
  <c r="EV113" i="1" s="1"/>
  <c r="KW127" i="1" l="1"/>
  <c r="KW131" i="1" s="1"/>
  <c r="KV132" i="1"/>
  <c r="KU134" i="1"/>
  <c r="EV114" i="1"/>
  <c r="MP121" i="1"/>
  <c r="EV100" i="1"/>
  <c r="EW104" i="1"/>
  <c r="EW109" i="1"/>
  <c r="KX127" i="1" l="1"/>
  <c r="KX131" i="1" s="1"/>
  <c r="KW132" i="1"/>
  <c r="KV134" i="1"/>
  <c r="EV116" i="1"/>
  <c r="MQ121" i="1"/>
  <c r="EW99" i="1"/>
  <c r="EX103" i="1" s="1"/>
  <c r="EW108" i="1"/>
  <c r="EW113" i="1" s="1"/>
  <c r="EW114" i="1" s="1"/>
  <c r="KY127" i="1" l="1"/>
  <c r="KY131" i="1" s="1"/>
  <c r="KW134" i="1"/>
  <c r="KX132" i="1"/>
  <c r="MR121" i="1"/>
  <c r="EW100" i="1"/>
  <c r="EW116" i="1" s="1"/>
  <c r="EX104" i="1"/>
  <c r="EX109" i="1"/>
  <c r="KZ127" i="1" l="1"/>
  <c r="KZ131" i="1" s="1"/>
  <c r="KY132" i="1"/>
  <c r="KX134" i="1"/>
  <c r="MS121" i="1"/>
  <c r="EX99" i="1"/>
  <c r="EY103" i="1" s="1"/>
  <c r="EX108" i="1"/>
  <c r="EX113" i="1" s="1"/>
  <c r="EX114" i="1" s="1"/>
  <c r="LA127" i="1" l="1"/>
  <c r="LA131" i="1" s="1"/>
  <c r="KZ132" i="1"/>
  <c r="KY134" i="1"/>
  <c r="MT121" i="1"/>
  <c r="EX100" i="1"/>
  <c r="EX116" i="1" s="1"/>
  <c r="EY104" i="1"/>
  <c r="EY109" i="1"/>
  <c r="LB127" i="1" l="1"/>
  <c r="LB131" i="1" s="1"/>
  <c r="KZ134" i="1"/>
  <c r="LA132" i="1"/>
  <c r="MU121" i="1"/>
  <c r="EY99" i="1"/>
  <c r="EZ103" i="1" s="1"/>
  <c r="EY108" i="1"/>
  <c r="EY113" i="1" s="1"/>
  <c r="EY114" i="1" s="1"/>
  <c r="LC127" i="1" l="1"/>
  <c r="LC131" i="1" s="1"/>
  <c r="LA134" i="1"/>
  <c r="LB132" i="1"/>
  <c r="MV121" i="1"/>
  <c r="EY100" i="1"/>
  <c r="EY116" i="1" s="1"/>
  <c r="EZ104" i="1"/>
  <c r="EZ109" i="1"/>
  <c r="LD127" i="1" l="1"/>
  <c r="LD131" i="1" s="1"/>
  <c r="LC132" i="1"/>
  <c r="LB134" i="1"/>
  <c r="MW121" i="1"/>
  <c r="EZ99" i="1"/>
  <c r="EZ100" i="1" s="1"/>
  <c r="EZ108" i="1"/>
  <c r="EZ113" i="1" s="1"/>
  <c r="EZ114" i="1" s="1"/>
  <c r="LE127" i="1" l="1"/>
  <c r="LE131" i="1" s="1"/>
  <c r="LC134" i="1"/>
  <c r="LD132" i="1"/>
  <c r="MX121" i="1"/>
  <c r="FA103" i="1"/>
  <c r="FA104" i="1" s="1"/>
  <c r="EZ116" i="1"/>
  <c r="LF127" i="1" l="1"/>
  <c r="LF131" i="1" s="1"/>
  <c r="LD134" i="1"/>
  <c r="LE132" i="1"/>
  <c r="FA109" i="1"/>
  <c r="MY121" i="1"/>
  <c r="FA99" i="1"/>
  <c r="FB103" i="1" s="1"/>
  <c r="FA108" i="1"/>
  <c r="LG127" i="1" l="1"/>
  <c r="LG131" i="1" s="1"/>
  <c r="LE134" i="1"/>
  <c r="LF132" i="1"/>
  <c r="FA113" i="1"/>
  <c r="FA114" i="1" s="1"/>
  <c r="MZ121" i="1"/>
  <c r="FA100" i="1"/>
  <c r="FB104" i="1"/>
  <c r="FB109" i="1"/>
  <c r="LH127" i="1" l="1"/>
  <c r="LH131" i="1" s="1"/>
  <c r="FA116" i="1"/>
  <c r="LG132" i="1"/>
  <c r="LF134" i="1"/>
  <c r="NA121" i="1"/>
  <c r="FB99" i="1"/>
  <c r="FB108" i="1"/>
  <c r="FB113" i="1" s="1"/>
  <c r="FB114" i="1" s="1"/>
  <c r="LI127" i="1" l="1"/>
  <c r="LI131" i="1" s="1"/>
  <c r="LH132" i="1"/>
  <c r="LG134" i="1"/>
  <c r="NB121" i="1"/>
  <c r="FC103" i="1"/>
  <c r="FC109" i="1" s="1"/>
  <c r="O50" i="1"/>
  <c r="FB100" i="1"/>
  <c r="LJ127" i="1" l="1"/>
  <c r="LJ131" i="1" s="1"/>
  <c r="LH134" i="1"/>
  <c r="LI132" i="1"/>
  <c r="NC121" i="1"/>
  <c r="FC104" i="1"/>
  <c r="FC99" i="1" s="1"/>
  <c r="FC100" i="1" s="1"/>
  <c r="FB116" i="1"/>
  <c r="O51" i="1"/>
  <c r="LK127" i="1" l="1"/>
  <c r="LK131" i="1" s="1"/>
  <c r="FC108" i="1"/>
  <c r="FC113" i="1" s="1"/>
  <c r="LJ132" i="1"/>
  <c r="LI134" i="1"/>
  <c r="ND121" i="1"/>
  <c r="FD103" i="1"/>
  <c r="FD104" i="1" s="1"/>
  <c r="LL127" i="1" l="1"/>
  <c r="LL131" i="1" s="1"/>
  <c r="LK132" i="1"/>
  <c r="LJ134" i="1"/>
  <c r="FC114" i="1"/>
  <c r="FC116" i="1" s="1"/>
  <c r="NE121" i="1"/>
  <c r="FD109" i="1"/>
  <c r="FD99" i="1"/>
  <c r="FE103" i="1" s="1"/>
  <c r="FD108" i="1"/>
  <c r="LM127" i="1" l="1"/>
  <c r="LM131" i="1" s="1"/>
  <c r="LL132" i="1"/>
  <c r="LK134" i="1"/>
  <c r="NF121" i="1"/>
  <c r="FD113" i="1"/>
  <c r="FD100" i="1"/>
  <c r="FE104" i="1"/>
  <c r="FE109" i="1"/>
  <c r="LN127" i="1" l="1"/>
  <c r="LN131" i="1" s="1"/>
  <c r="LM132" i="1"/>
  <c r="LL134" i="1"/>
  <c r="FD114" i="1"/>
  <c r="FD116" i="1" s="1"/>
  <c r="NG121" i="1"/>
  <c r="FE99" i="1"/>
  <c r="FE100" i="1" s="1"/>
  <c r="FE108" i="1"/>
  <c r="LO127" i="1" l="1"/>
  <c r="LO131" i="1" s="1"/>
  <c r="LM134" i="1"/>
  <c r="LN132" i="1"/>
  <c r="FF103" i="1"/>
  <c r="FF104" i="1" s="1"/>
  <c r="NH121" i="1"/>
  <c r="FE113" i="1"/>
  <c r="FF109" i="1" l="1"/>
  <c r="LP127" i="1"/>
  <c r="LP131" i="1" s="1"/>
  <c r="LO132" i="1"/>
  <c r="LN134" i="1"/>
  <c r="FE114" i="1"/>
  <c r="FE116" i="1" s="1"/>
  <c r="NI121" i="1"/>
  <c r="FF99" i="1"/>
  <c r="FG103" i="1" s="1"/>
  <c r="FF108" i="1"/>
  <c r="LQ127" i="1" l="1"/>
  <c r="LQ131" i="1" s="1"/>
  <c r="LP132" i="1"/>
  <c r="LO134" i="1"/>
  <c r="NJ121" i="1"/>
  <c r="FF113" i="1"/>
  <c r="FF100" i="1"/>
  <c r="FG104" i="1"/>
  <c r="FG109" i="1"/>
  <c r="LR127" i="1" l="1"/>
  <c r="LR131" i="1" s="1"/>
  <c r="LP134" i="1"/>
  <c r="LQ132" i="1"/>
  <c r="FF114" i="1"/>
  <c r="FF116" i="1" s="1"/>
  <c r="NK121" i="1"/>
  <c r="FG99" i="1"/>
  <c r="FH103" i="1" s="1"/>
  <c r="FG108" i="1"/>
  <c r="FG113" i="1" s="1"/>
  <c r="LS127" i="1" l="1"/>
  <c r="LS131" i="1" s="1"/>
  <c r="LQ134" i="1"/>
  <c r="LR132" i="1"/>
  <c r="FG114" i="1"/>
  <c r="NL121" i="1"/>
  <c r="FG100" i="1"/>
  <c r="FH104" i="1"/>
  <c r="FH109" i="1"/>
  <c r="LT127" i="1" l="1"/>
  <c r="LT131" i="1" s="1"/>
  <c r="FG116" i="1"/>
  <c r="LS132" i="1"/>
  <c r="LR134" i="1"/>
  <c r="NM121" i="1"/>
  <c r="FH99" i="1"/>
  <c r="FH100" i="1" s="1"/>
  <c r="FH108" i="1"/>
  <c r="FH113" i="1" s="1"/>
  <c r="LU127" i="1" l="1"/>
  <c r="LU131" i="1" s="1"/>
  <c r="LT132" i="1"/>
  <c r="LS134" i="1"/>
  <c r="FH114" i="1"/>
  <c r="FH116" i="1" s="1"/>
  <c r="NN121" i="1"/>
  <c r="FI103" i="1"/>
  <c r="FI104" i="1" s="1"/>
  <c r="LV127" i="1" l="1"/>
  <c r="LV131" i="1" s="1"/>
  <c r="LU132" i="1"/>
  <c r="LT134" i="1"/>
  <c r="NO121" i="1"/>
  <c r="FI109" i="1"/>
  <c r="FI99" i="1"/>
  <c r="FI100" i="1" s="1"/>
  <c r="FI108" i="1"/>
  <c r="LW127" i="1" l="1"/>
  <c r="LW131" i="1" s="1"/>
  <c r="LV132" i="1"/>
  <c r="LU134" i="1"/>
  <c r="NP121" i="1"/>
  <c r="FJ103" i="1"/>
  <c r="FJ104" i="1" s="1"/>
  <c r="FI113" i="1"/>
  <c r="FI114" i="1" s="1"/>
  <c r="FI116" i="1" s="1"/>
  <c r="LX127" i="1" l="1"/>
  <c r="LX131" i="1" s="1"/>
  <c r="FJ109" i="1"/>
  <c r="LW132" i="1"/>
  <c r="LV134" i="1"/>
  <c r="NQ121" i="1"/>
  <c r="FJ99" i="1"/>
  <c r="FK103" i="1" s="1"/>
  <c r="FJ108" i="1"/>
  <c r="LY127" i="1" l="1"/>
  <c r="LY131" i="1" s="1"/>
  <c r="FJ113" i="1"/>
  <c r="FJ114" i="1" s="1"/>
  <c r="LX132" i="1"/>
  <c r="LW134" i="1"/>
  <c r="NR121" i="1"/>
  <c r="FJ100" i="1"/>
  <c r="FK104" i="1"/>
  <c r="FK109" i="1"/>
  <c r="LZ127" i="1" l="1"/>
  <c r="LZ131" i="1" s="1"/>
  <c r="FJ116" i="1"/>
  <c r="LX134" i="1"/>
  <c r="LY132" i="1"/>
  <c r="NS121" i="1"/>
  <c r="FK99" i="1"/>
  <c r="FL103" i="1" s="1"/>
  <c r="FK108" i="1"/>
  <c r="FK113" i="1" s="1"/>
  <c r="FK114" i="1" s="1"/>
  <c r="MA127" i="1" l="1"/>
  <c r="MA131" i="1" s="1"/>
  <c r="LZ132" i="1"/>
  <c r="LY134" i="1"/>
  <c r="NT121" i="1"/>
  <c r="FK100" i="1"/>
  <c r="FK116" i="1" s="1"/>
  <c r="FL104" i="1"/>
  <c r="FL109" i="1"/>
  <c r="MB127" i="1" l="1"/>
  <c r="MB131" i="1" s="1"/>
  <c r="LZ134" i="1"/>
  <c r="MA132" i="1"/>
  <c r="NU121" i="1"/>
  <c r="FL99" i="1"/>
  <c r="FM103" i="1" s="1"/>
  <c r="FL108" i="1"/>
  <c r="FL113" i="1" s="1"/>
  <c r="FL114" i="1" s="1"/>
  <c r="MC127" i="1" l="1"/>
  <c r="MC131" i="1" s="1"/>
  <c r="MB132" i="1"/>
  <c r="MA134" i="1"/>
  <c r="NV121" i="1"/>
  <c r="FL100" i="1"/>
  <c r="FL116" i="1" s="1"/>
  <c r="FM104" i="1"/>
  <c r="FM109" i="1"/>
  <c r="MD127" i="1" l="1"/>
  <c r="MD131" i="1" s="1"/>
  <c r="MB134" i="1"/>
  <c r="MC132" i="1"/>
  <c r="NW121" i="1"/>
  <c r="FM99" i="1"/>
  <c r="FN103" i="1" s="1"/>
  <c r="FM108" i="1"/>
  <c r="FM113" i="1" s="1"/>
  <c r="FM114" i="1" s="1"/>
  <c r="ME127" i="1" l="1"/>
  <c r="ME131" i="1" s="1"/>
  <c r="MD132" i="1"/>
  <c r="MC134" i="1"/>
  <c r="NX121" i="1"/>
  <c r="FM100" i="1"/>
  <c r="FM116" i="1" s="1"/>
  <c r="FN104" i="1"/>
  <c r="FN109" i="1"/>
  <c r="MF127" i="1" l="1"/>
  <c r="MF131" i="1" s="1"/>
  <c r="ME132" i="1"/>
  <c r="MD134" i="1"/>
  <c r="NY121" i="1"/>
  <c r="FN99" i="1"/>
  <c r="FN108" i="1"/>
  <c r="FN113" i="1" s="1"/>
  <c r="FN114" i="1" s="1"/>
  <c r="MG127" i="1" l="1"/>
  <c r="MG131" i="1" s="1"/>
  <c r="ME134" i="1"/>
  <c r="MF132" i="1"/>
  <c r="NZ121" i="1"/>
  <c r="FO103" i="1"/>
  <c r="FO104" i="1" s="1"/>
  <c r="P50" i="1"/>
  <c r="FN100" i="1"/>
  <c r="MH127" i="1" l="1"/>
  <c r="MH131" i="1" s="1"/>
  <c r="FO109" i="1"/>
  <c r="MG132" i="1"/>
  <c r="MF134" i="1"/>
  <c r="OA121" i="1"/>
  <c r="FN116" i="1"/>
  <c r="P51" i="1"/>
  <c r="FO99" i="1"/>
  <c r="FP103" i="1" s="1"/>
  <c r="FO108" i="1"/>
  <c r="MI127" i="1" l="1"/>
  <c r="MI131" i="1" s="1"/>
  <c r="MH132" i="1"/>
  <c r="MG134" i="1"/>
  <c r="OB121" i="1"/>
  <c r="FO113" i="1"/>
  <c r="FO100" i="1"/>
  <c r="FP104" i="1"/>
  <c r="FP109" i="1"/>
  <c r="MJ127" i="1" l="1"/>
  <c r="MJ131" i="1" s="1"/>
  <c r="MH134" i="1"/>
  <c r="MI132" i="1"/>
  <c r="FO114" i="1"/>
  <c r="FO116" i="1" s="1"/>
  <c r="OC121" i="1"/>
  <c r="FP99" i="1"/>
  <c r="FQ103" i="1" s="1"/>
  <c r="FP108" i="1"/>
  <c r="MK127" i="1" l="1"/>
  <c r="MK131" i="1" s="1"/>
  <c r="MI134" i="1"/>
  <c r="MJ132" i="1"/>
  <c r="OD121" i="1"/>
  <c r="FP113" i="1"/>
  <c r="FP100" i="1"/>
  <c r="FQ104" i="1"/>
  <c r="FQ109" i="1"/>
  <c r="ML127" i="1" l="1"/>
  <c r="ML131" i="1" s="1"/>
  <c r="MK132" i="1"/>
  <c r="MJ134" i="1"/>
  <c r="FP114" i="1"/>
  <c r="FP116" i="1" s="1"/>
  <c r="OE121" i="1"/>
  <c r="FQ99" i="1"/>
  <c r="FR103" i="1" s="1"/>
  <c r="FQ108" i="1"/>
  <c r="MM127" i="1" l="1"/>
  <c r="MM131" i="1" s="1"/>
  <c r="MK134" i="1"/>
  <c r="ML132" i="1"/>
  <c r="OF121" i="1"/>
  <c r="FQ113" i="1"/>
  <c r="FQ100" i="1"/>
  <c r="FR104" i="1"/>
  <c r="FR109" i="1"/>
  <c r="MN127" i="1" l="1"/>
  <c r="MN131" i="1" s="1"/>
  <c r="MM132" i="1"/>
  <c r="ML134" i="1"/>
  <c r="FQ114" i="1"/>
  <c r="FQ116" i="1" s="1"/>
  <c r="OG121" i="1"/>
  <c r="FR99" i="1"/>
  <c r="FS103" i="1" s="1"/>
  <c r="FR108" i="1"/>
  <c r="MO127" i="1" l="1"/>
  <c r="MO131" i="1" s="1"/>
  <c r="MM134" i="1"/>
  <c r="MN132" i="1"/>
  <c r="OH121" i="1"/>
  <c r="FR113" i="1"/>
  <c r="FR100" i="1"/>
  <c r="FS104" i="1"/>
  <c r="FS109" i="1"/>
  <c r="MP127" i="1" l="1"/>
  <c r="MP131" i="1" s="1"/>
  <c r="MN134" i="1"/>
  <c r="MO132" i="1"/>
  <c r="FR114" i="1"/>
  <c r="FR116" i="1" s="1"/>
  <c r="OI121" i="1"/>
  <c r="FS99" i="1"/>
  <c r="FT103" i="1" s="1"/>
  <c r="FS108" i="1"/>
  <c r="FS113" i="1" s="1"/>
  <c r="FS114" i="1" l="1"/>
  <c r="MQ127" i="1"/>
  <c r="MQ131" i="1" s="1"/>
  <c r="MO134" i="1"/>
  <c r="MP132" i="1"/>
  <c r="OJ121" i="1"/>
  <c r="FS100" i="1"/>
  <c r="FT104" i="1"/>
  <c r="FT109" i="1"/>
  <c r="FS116" i="1" l="1"/>
  <c r="MR127" i="1"/>
  <c r="MR131" i="1" s="1"/>
  <c r="MQ132" i="1"/>
  <c r="MP134" i="1"/>
  <c r="OK121" i="1"/>
  <c r="FT99" i="1"/>
  <c r="FU103" i="1" s="1"/>
  <c r="FT108" i="1"/>
  <c r="FT113" i="1" s="1"/>
  <c r="MS127" i="1" l="1"/>
  <c r="MS131" i="1" s="1"/>
  <c r="MQ134" i="1"/>
  <c r="MR132" i="1"/>
  <c r="FT114" i="1"/>
  <c r="OL121" i="1"/>
  <c r="FT100" i="1"/>
  <c r="FU104" i="1"/>
  <c r="FU109" i="1"/>
  <c r="MT127" i="1" l="1"/>
  <c r="MT131" i="1" s="1"/>
  <c r="MS132" i="1"/>
  <c r="MR134" i="1"/>
  <c r="FT116" i="1"/>
  <c r="OM121" i="1"/>
  <c r="FU99" i="1"/>
  <c r="FV103" i="1" s="1"/>
  <c r="FU108" i="1"/>
  <c r="FU113" i="1" s="1"/>
  <c r="FU114" i="1" s="1"/>
  <c r="MU127" i="1" l="1"/>
  <c r="MU131" i="1" s="1"/>
  <c r="MT132" i="1"/>
  <c r="MS134" i="1"/>
  <c r="ON121" i="1"/>
  <c r="FU100" i="1"/>
  <c r="FU116" i="1" s="1"/>
  <c r="FV104" i="1"/>
  <c r="FV109" i="1"/>
  <c r="MV127" i="1" l="1"/>
  <c r="MV131" i="1" s="1"/>
  <c r="MT134" i="1"/>
  <c r="MU132" i="1"/>
  <c r="OO121" i="1"/>
  <c r="FV99" i="1"/>
  <c r="FW103" i="1" s="1"/>
  <c r="FV108" i="1"/>
  <c r="FV113" i="1" s="1"/>
  <c r="FV114" i="1" s="1"/>
  <c r="MW127" i="1" l="1"/>
  <c r="MW131" i="1" s="1"/>
  <c r="MU134" i="1"/>
  <c r="MV132" i="1"/>
  <c r="OP121" i="1"/>
  <c r="FV100" i="1"/>
  <c r="FV116" i="1" s="1"/>
  <c r="FW104" i="1"/>
  <c r="FW109" i="1"/>
  <c r="MX127" i="1" l="1"/>
  <c r="MX131" i="1" s="1"/>
  <c r="MV134" i="1"/>
  <c r="MW132" i="1"/>
  <c r="OQ121" i="1"/>
  <c r="FW99" i="1"/>
  <c r="FX103" i="1" s="1"/>
  <c r="FW108" i="1"/>
  <c r="FW113" i="1" s="1"/>
  <c r="FW114" i="1" s="1"/>
  <c r="MY127" i="1" l="1"/>
  <c r="MY131" i="1" s="1"/>
  <c r="MX132" i="1"/>
  <c r="MW134" i="1"/>
  <c r="OR121" i="1"/>
  <c r="FW100" i="1"/>
  <c r="FW116" i="1" s="1"/>
  <c r="FX104" i="1"/>
  <c r="FX109" i="1"/>
  <c r="MZ127" i="1" l="1"/>
  <c r="MZ131" i="1" s="1"/>
  <c r="MX134" i="1"/>
  <c r="MY132" i="1"/>
  <c r="OS121" i="1"/>
  <c r="FX99" i="1"/>
  <c r="FY103" i="1" s="1"/>
  <c r="FX108" i="1"/>
  <c r="FX113" i="1" s="1"/>
  <c r="FX114" i="1" s="1"/>
  <c r="NA127" i="1" l="1"/>
  <c r="NA131" i="1" s="1"/>
  <c r="MZ132" i="1"/>
  <c r="MY134" i="1"/>
  <c r="OT121" i="1"/>
  <c r="FX100" i="1"/>
  <c r="FX116" i="1" s="1"/>
  <c r="FY104" i="1"/>
  <c r="FY109" i="1"/>
  <c r="NB127" i="1" l="1"/>
  <c r="NB131" i="1" s="1"/>
  <c r="NA132" i="1"/>
  <c r="MZ134" i="1"/>
  <c r="OU121" i="1"/>
  <c r="FY99" i="1"/>
  <c r="FZ103" i="1" s="1"/>
  <c r="FY108" i="1"/>
  <c r="FY113" i="1" s="1"/>
  <c r="FY114" i="1" s="1"/>
  <c r="NC127" i="1" l="1"/>
  <c r="NC131" i="1" s="1"/>
  <c r="NA134" i="1"/>
  <c r="NB132" i="1"/>
  <c r="OV121" i="1"/>
  <c r="FY100" i="1"/>
  <c r="FY116" i="1" s="1"/>
  <c r="FZ104" i="1"/>
  <c r="FZ109" i="1"/>
  <c r="ND127" i="1" l="1"/>
  <c r="ND131" i="1" s="1"/>
  <c r="NB134" i="1"/>
  <c r="NC132" i="1"/>
  <c r="OW121" i="1"/>
  <c r="FZ99" i="1"/>
  <c r="FZ108" i="1"/>
  <c r="FZ113" i="1" s="1"/>
  <c r="FZ114" i="1" s="1"/>
  <c r="NE127" i="1" l="1"/>
  <c r="NE131" i="1" s="1"/>
  <c r="ND132" i="1"/>
  <c r="NC134" i="1"/>
  <c r="OX121" i="1"/>
  <c r="GA103" i="1"/>
  <c r="GA109" i="1" s="1"/>
  <c r="Q50" i="1"/>
  <c r="FZ100" i="1"/>
  <c r="NF127" i="1" l="1"/>
  <c r="NF131" i="1" s="1"/>
  <c r="NE132" i="1"/>
  <c r="ND134" i="1"/>
  <c r="OY121" i="1"/>
  <c r="GA104" i="1"/>
  <c r="GA99" i="1" s="1"/>
  <c r="GB103" i="1" s="1"/>
  <c r="FZ116" i="1"/>
  <c r="Q51" i="1"/>
  <c r="NG127" i="1" l="1"/>
  <c r="NG131" i="1" s="1"/>
  <c r="NF132" i="1"/>
  <c r="NE134" i="1"/>
  <c r="GA108" i="1"/>
  <c r="GA113" i="1" s="1"/>
  <c r="OZ121" i="1"/>
  <c r="GA100" i="1"/>
  <c r="GB104" i="1"/>
  <c r="GB109" i="1"/>
  <c r="NH127" i="1" l="1"/>
  <c r="NH131" i="1" s="1"/>
  <c r="NF134" i="1"/>
  <c r="NG132" i="1"/>
  <c r="GA114" i="1"/>
  <c r="GA116" i="1" s="1"/>
  <c r="PA121" i="1"/>
  <c r="GB99" i="1"/>
  <c r="GC103" i="1" s="1"/>
  <c r="GB108" i="1"/>
  <c r="NI127" i="1" l="1"/>
  <c r="NI131" i="1" s="1"/>
  <c r="NG134" i="1"/>
  <c r="NH132" i="1"/>
  <c r="PB121" i="1"/>
  <c r="GB113" i="1"/>
  <c r="GB100" i="1"/>
  <c r="GC104" i="1"/>
  <c r="GC109" i="1"/>
  <c r="NJ127" i="1" l="1"/>
  <c r="NJ131" i="1" s="1"/>
  <c r="NH134" i="1"/>
  <c r="NI132" i="1"/>
  <c r="GB114" i="1"/>
  <c r="GB116" i="1" s="1"/>
  <c r="PC121" i="1"/>
  <c r="GC99" i="1"/>
  <c r="GD103" i="1" s="1"/>
  <c r="GC108" i="1"/>
  <c r="NK127" i="1" l="1"/>
  <c r="NK131" i="1" s="1"/>
  <c r="NJ132" i="1"/>
  <c r="NI134" i="1"/>
  <c r="PD121" i="1"/>
  <c r="GC113" i="1"/>
  <c r="GC100" i="1"/>
  <c r="GD104" i="1"/>
  <c r="GD109" i="1"/>
  <c r="NL127" i="1" l="1"/>
  <c r="NL131" i="1" s="1"/>
  <c r="NK132" i="1"/>
  <c r="NJ134" i="1"/>
  <c r="GC114" i="1"/>
  <c r="GC116" i="1" s="1"/>
  <c r="PE121" i="1"/>
  <c r="GD99" i="1"/>
  <c r="GE103" i="1" s="1"/>
  <c r="GD108" i="1"/>
  <c r="NM127" i="1" l="1"/>
  <c r="NM131" i="1" s="1"/>
  <c r="NK134" i="1"/>
  <c r="NL132" i="1"/>
  <c r="PF121" i="1"/>
  <c r="GD113" i="1"/>
  <c r="GD100" i="1"/>
  <c r="GE104" i="1"/>
  <c r="GE109" i="1"/>
  <c r="NN127" i="1" l="1"/>
  <c r="NN131" i="1" s="1"/>
  <c r="NM132" i="1"/>
  <c r="NL134" i="1"/>
  <c r="GD114" i="1"/>
  <c r="GD116" i="1" s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GE99" i="1"/>
  <c r="GF103" i="1" s="1"/>
  <c r="GE108" i="1"/>
  <c r="GE113" i="1" s="1"/>
  <c r="NO127" i="1" l="1"/>
  <c r="NO131" i="1" s="1"/>
  <c r="GE114" i="1"/>
  <c r="NN132" i="1"/>
  <c r="NM134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W77" i="1"/>
  <c r="T77" i="1"/>
  <c r="X77" i="1"/>
  <c r="U77" i="1"/>
  <c r="Y77" i="1"/>
  <c r="V77" i="1"/>
  <c r="Z77" i="1"/>
  <c r="AA77" i="1"/>
  <c r="AB77" i="1"/>
  <c r="AC77" i="1"/>
  <c r="AD77" i="1"/>
  <c r="AE77" i="1"/>
  <c r="AF77" i="1"/>
  <c r="AG77" i="1"/>
  <c r="GE100" i="1"/>
  <c r="GF104" i="1"/>
  <c r="GF109" i="1"/>
  <c r="NP127" i="1" l="1"/>
  <c r="GE116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W81" i="1"/>
  <c r="T81" i="1"/>
  <c r="X81" i="1"/>
  <c r="U81" i="1"/>
  <c r="Y81" i="1"/>
  <c r="V81" i="1"/>
  <c r="Z81" i="1"/>
  <c r="AA81" i="1"/>
  <c r="AB81" i="1"/>
  <c r="AC81" i="1"/>
  <c r="AD81" i="1"/>
  <c r="AE81" i="1"/>
  <c r="AF81" i="1"/>
  <c r="AG81" i="1"/>
  <c r="NO132" i="1"/>
  <c r="NN134" i="1"/>
  <c r="GF99" i="1"/>
  <c r="GG103" i="1" s="1"/>
  <c r="GF108" i="1"/>
  <c r="GF113" i="1" s="1"/>
  <c r="NP131" i="1" l="1"/>
  <c r="NQ127" i="1"/>
  <c r="NQ131" i="1" s="1"/>
  <c r="NP132" i="1"/>
  <c r="NO134" i="1"/>
  <c r="GF114" i="1"/>
  <c r="GF100" i="1"/>
  <c r="GG104" i="1"/>
  <c r="GG109" i="1"/>
  <c r="NR127" i="1" l="1"/>
  <c r="GF116" i="1"/>
  <c r="NP134" i="1"/>
  <c r="NQ132" i="1"/>
  <c r="GG99" i="1"/>
  <c r="GH103" i="1" s="1"/>
  <c r="GG108" i="1"/>
  <c r="GG113" i="1" s="1"/>
  <c r="GG114" i="1" s="1"/>
  <c r="NR131" i="1" l="1"/>
  <c r="NS127" i="1"/>
  <c r="NS131" i="1" s="1"/>
  <c r="NR132" i="1"/>
  <c r="NQ134" i="1"/>
  <c r="GG100" i="1"/>
  <c r="GG116" i="1" s="1"/>
  <c r="GH104" i="1"/>
  <c r="GH109" i="1"/>
  <c r="NT127" i="1" l="1"/>
  <c r="NT131" i="1" s="1"/>
  <c r="NS132" i="1"/>
  <c r="NR134" i="1"/>
  <c r="GH99" i="1"/>
  <c r="GI103" i="1" s="1"/>
  <c r="GH108" i="1"/>
  <c r="GH113" i="1" s="1"/>
  <c r="GH114" i="1" s="1"/>
  <c r="NU127" i="1" l="1"/>
  <c r="NT132" i="1"/>
  <c r="NS134" i="1"/>
  <c r="GH100" i="1"/>
  <c r="GH116" i="1" s="1"/>
  <c r="GI104" i="1"/>
  <c r="GI109" i="1"/>
  <c r="NU131" i="1" l="1"/>
  <c r="NV127" i="1"/>
  <c r="NV131" i="1" s="1"/>
  <c r="NU132" i="1"/>
  <c r="NT134" i="1"/>
  <c r="GI99" i="1"/>
  <c r="GJ103" i="1" s="1"/>
  <c r="GI108" i="1"/>
  <c r="GI113" i="1" s="1"/>
  <c r="GI114" i="1" s="1"/>
  <c r="AH77" i="1" l="1"/>
  <c r="AH81" i="1"/>
  <c r="NW127" i="1"/>
  <c r="NV132" i="1"/>
  <c r="NU134" i="1"/>
  <c r="GI100" i="1"/>
  <c r="GI116" i="1" s="1"/>
  <c r="GJ104" i="1"/>
  <c r="GJ109" i="1"/>
  <c r="NW131" i="1" l="1"/>
  <c r="NX127" i="1"/>
  <c r="NX131" i="1" s="1"/>
  <c r="NW132" i="1"/>
  <c r="NV134" i="1"/>
  <c r="GJ99" i="1"/>
  <c r="GK103" i="1" s="1"/>
  <c r="GJ108" i="1"/>
  <c r="GJ113" i="1" s="1"/>
  <c r="GJ114" i="1" s="1"/>
  <c r="NY127" i="1" l="1"/>
  <c r="NW134" i="1"/>
  <c r="NX132" i="1"/>
  <c r="GJ100" i="1"/>
  <c r="GJ116" i="1" s="1"/>
  <c r="GK104" i="1"/>
  <c r="GK109" i="1"/>
  <c r="NY131" i="1" l="1"/>
  <c r="NZ127" i="1"/>
  <c r="NZ131" i="1" s="1"/>
  <c r="NY132" i="1"/>
  <c r="NX134" i="1"/>
  <c r="GK99" i="1"/>
  <c r="GL103" i="1" s="1"/>
  <c r="GK108" i="1"/>
  <c r="GK113" i="1" s="1"/>
  <c r="GK114" i="1" s="1"/>
  <c r="OA127" i="1" l="1"/>
  <c r="NZ132" i="1"/>
  <c r="NY134" i="1"/>
  <c r="GK100" i="1"/>
  <c r="GK116" i="1" s="1"/>
  <c r="GL104" i="1"/>
  <c r="GL109" i="1"/>
  <c r="OA131" i="1" l="1"/>
  <c r="OB127" i="1"/>
  <c r="OB131" i="1" s="1"/>
  <c r="NZ134" i="1"/>
  <c r="OA132" i="1"/>
  <c r="GL99" i="1"/>
  <c r="GL108" i="1"/>
  <c r="GL113" i="1" s="1"/>
  <c r="GL114" i="1" s="1"/>
  <c r="OC127" i="1" l="1"/>
  <c r="OC131" i="1" s="1"/>
  <c r="OB132" i="1"/>
  <c r="OA134" i="1"/>
  <c r="GM103" i="1"/>
  <c r="GM104" i="1" s="1"/>
  <c r="R50" i="1"/>
  <c r="GL100" i="1"/>
  <c r="OD127" i="1" l="1"/>
  <c r="OC132" i="1"/>
  <c r="OB134" i="1"/>
  <c r="GM109" i="1"/>
  <c r="GL116" i="1"/>
  <c r="R51" i="1"/>
  <c r="GM99" i="1"/>
  <c r="GN103" i="1" s="1"/>
  <c r="GM108" i="1"/>
  <c r="OD131" i="1" l="1"/>
  <c r="OE127" i="1"/>
  <c r="OE131" i="1" s="1"/>
  <c r="OD132" i="1"/>
  <c r="OC134" i="1"/>
  <c r="GM113" i="1"/>
  <c r="GM100" i="1"/>
  <c r="GN104" i="1"/>
  <c r="GN109" i="1"/>
  <c r="OF127" i="1" l="1"/>
  <c r="OF131" i="1" s="1"/>
  <c r="OD134" i="1"/>
  <c r="OE132" i="1"/>
  <c r="GM114" i="1"/>
  <c r="GM116" i="1" s="1"/>
  <c r="GN99" i="1"/>
  <c r="GO103" i="1" s="1"/>
  <c r="GN108" i="1"/>
  <c r="OG127" i="1" l="1"/>
  <c r="OG131" i="1" s="1"/>
  <c r="OE134" i="1"/>
  <c r="OF132" i="1"/>
  <c r="GN113" i="1"/>
  <c r="GN100" i="1"/>
  <c r="GO104" i="1"/>
  <c r="GO109" i="1"/>
  <c r="OH127" i="1" l="1"/>
  <c r="OH131" i="1" s="1"/>
  <c r="OF134" i="1"/>
  <c r="OG132" i="1"/>
  <c r="GN114" i="1"/>
  <c r="GN116" i="1" s="1"/>
  <c r="GO99" i="1"/>
  <c r="GP103" i="1" s="1"/>
  <c r="GO108" i="1"/>
  <c r="OI127" i="1" l="1"/>
  <c r="OH132" i="1"/>
  <c r="OG134" i="1"/>
  <c r="GO113" i="1"/>
  <c r="GO100" i="1"/>
  <c r="GP104" i="1"/>
  <c r="GP109" i="1"/>
  <c r="OI131" i="1" l="1"/>
  <c r="OJ127" i="1"/>
  <c r="OJ131" i="1" s="1"/>
  <c r="OI132" i="1"/>
  <c r="OH134" i="1"/>
  <c r="GO114" i="1"/>
  <c r="GO116" i="1" s="1"/>
  <c r="GP99" i="1"/>
  <c r="GQ103" i="1" s="1"/>
  <c r="GP108" i="1"/>
  <c r="OK127" i="1" l="1"/>
  <c r="OI134" i="1"/>
  <c r="OJ132" i="1"/>
  <c r="GP113" i="1"/>
  <c r="GP100" i="1"/>
  <c r="GQ104" i="1"/>
  <c r="GQ109" i="1"/>
  <c r="OK131" i="1" l="1"/>
  <c r="OL127" i="1"/>
  <c r="OL131" i="1" s="1"/>
  <c r="OK132" i="1"/>
  <c r="OJ134" i="1"/>
  <c r="GP114" i="1"/>
  <c r="GP116" i="1" s="1"/>
  <c r="GQ99" i="1"/>
  <c r="GR103" i="1" s="1"/>
  <c r="GQ108" i="1"/>
  <c r="GQ113" i="1" s="1"/>
  <c r="OM127" i="1" l="1"/>
  <c r="GQ114" i="1"/>
  <c r="OK134" i="1"/>
  <c r="OL132" i="1"/>
  <c r="GQ100" i="1"/>
  <c r="GR104" i="1"/>
  <c r="GR109" i="1"/>
  <c r="OM131" i="1" l="1"/>
  <c r="ON127" i="1"/>
  <c r="ON131" i="1" s="1"/>
  <c r="GQ116" i="1"/>
  <c r="OM132" i="1"/>
  <c r="OL134" i="1"/>
  <c r="GR99" i="1"/>
  <c r="GS103" i="1" s="1"/>
  <c r="GR108" i="1"/>
  <c r="GR113" i="1" s="1"/>
  <c r="OO127" i="1" l="1"/>
  <c r="OO131" i="1" s="1"/>
  <c r="ON132" i="1"/>
  <c r="OM134" i="1"/>
  <c r="GR114" i="1"/>
  <c r="GR100" i="1"/>
  <c r="GS104" i="1"/>
  <c r="GS109" i="1"/>
  <c r="OP127" i="1" l="1"/>
  <c r="GR116" i="1"/>
  <c r="OO132" i="1"/>
  <c r="ON134" i="1"/>
  <c r="GS99" i="1"/>
  <c r="GT103" i="1" s="1"/>
  <c r="GS108" i="1"/>
  <c r="GS113" i="1" s="1"/>
  <c r="GS114" i="1" s="1"/>
  <c r="OP131" i="1" l="1"/>
  <c r="OQ127" i="1"/>
  <c r="OQ131" i="1" s="1"/>
  <c r="OO134" i="1"/>
  <c r="OP132" i="1"/>
  <c r="GS100" i="1"/>
  <c r="GS116" i="1" s="1"/>
  <c r="GT104" i="1"/>
  <c r="GT109" i="1"/>
  <c r="OR127" i="1" l="1"/>
  <c r="OR131" i="1" s="1"/>
  <c r="OQ132" i="1"/>
  <c r="OP134" i="1"/>
  <c r="GT99" i="1"/>
  <c r="GU103" i="1" s="1"/>
  <c r="GT108" i="1"/>
  <c r="GT113" i="1" s="1"/>
  <c r="GT114" i="1" s="1"/>
  <c r="OS127" i="1" l="1"/>
  <c r="OS131" i="1" s="1"/>
  <c r="OR132" i="1"/>
  <c r="OQ134" i="1"/>
  <c r="GT100" i="1"/>
  <c r="GT116" i="1" s="1"/>
  <c r="GU104" i="1"/>
  <c r="GU109" i="1"/>
  <c r="OT127" i="1" l="1"/>
  <c r="OT131" i="1" s="1"/>
  <c r="OR134" i="1"/>
  <c r="OS132" i="1"/>
  <c r="GU99" i="1"/>
  <c r="GV103" i="1" s="1"/>
  <c r="GU108" i="1"/>
  <c r="GU113" i="1" s="1"/>
  <c r="GU114" i="1" s="1"/>
  <c r="OU127" i="1" l="1"/>
  <c r="OT132" i="1"/>
  <c r="OS134" i="1"/>
  <c r="GU100" i="1"/>
  <c r="GU116" i="1" s="1"/>
  <c r="GV104" i="1"/>
  <c r="GV109" i="1"/>
  <c r="OU131" i="1" l="1"/>
  <c r="OV127" i="1"/>
  <c r="OV131" i="1" s="1"/>
  <c r="OT134" i="1"/>
  <c r="OU132" i="1"/>
  <c r="GV99" i="1"/>
  <c r="GW103" i="1" s="1"/>
  <c r="GV108" i="1"/>
  <c r="GV113" i="1" s="1"/>
  <c r="GV114" i="1" s="1"/>
  <c r="OW127" i="1" l="1"/>
  <c r="OV132" i="1"/>
  <c r="OU134" i="1"/>
  <c r="GV100" i="1"/>
  <c r="GV116" i="1" s="1"/>
  <c r="GW104" i="1"/>
  <c r="GW109" i="1"/>
  <c r="OW131" i="1" l="1"/>
  <c r="OX127" i="1"/>
  <c r="OX131" i="1" s="1"/>
  <c r="OW132" i="1"/>
  <c r="OV134" i="1"/>
  <c r="GW99" i="1"/>
  <c r="GX103" i="1" s="1"/>
  <c r="GW108" i="1"/>
  <c r="GW113" i="1" s="1"/>
  <c r="GW114" i="1" s="1"/>
  <c r="OY127" i="1" l="1"/>
  <c r="OW134" i="1"/>
  <c r="OX132" i="1"/>
  <c r="GW100" i="1"/>
  <c r="GW116" i="1" s="1"/>
  <c r="GX104" i="1"/>
  <c r="GX109" i="1"/>
  <c r="OY131" i="1" l="1"/>
  <c r="OZ127" i="1"/>
  <c r="OZ131" i="1" s="1"/>
  <c r="OX134" i="1"/>
  <c r="OY132" i="1"/>
  <c r="GX99" i="1"/>
  <c r="GX108" i="1"/>
  <c r="GX113" i="1" s="1"/>
  <c r="GX114" i="1" s="1"/>
  <c r="PA127" i="1" l="1"/>
  <c r="PA131" i="1" s="1"/>
  <c r="OY134" i="1"/>
  <c r="OZ132" i="1"/>
  <c r="GX100" i="1"/>
  <c r="S51" i="1" s="1"/>
  <c r="S50" i="1"/>
  <c r="GY103" i="1"/>
  <c r="PB127" i="1" l="1"/>
  <c r="PA132" i="1"/>
  <c r="OZ134" i="1"/>
  <c r="GY104" i="1"/>
  <c r="GY99" i="1" s="1"/>
  <c r="GY100" i="1" s="1"/>
  <c r="GX116" i="1"/>
  <c r="GY109" i="1"/>
  <c r="PB131" i="1" l="1"/>
  <c r="PC127" i="1"/>
  <c r="PC131" i="1" s="1"/>
  <c r="GY108" i="1"/>
  <c r="GY113" i="1" s="1"/>
  <c r="PB132" i="1"/>
  <c r="PA134" i="1"/>
  <c r="GZ103" i="1"/>
  <c r="GZ109" i="1" s="1"/>
  <c r="PD127" i="1" l="1"/>
  <c r="PD131" i="1" s="1"/>
  <c r="GZ104" i="1"/>
  <c r="GZ108" i="1" s="1"/>
  <c r="PB134" i="1"/>
  <c r="PC132" i="1"/>
  <c r="GY114" i="1"/>
  <c r="GY116" i="1" s="1"/>
  <c r="GZ99" i="1"/>
  <c r="HA103" i="1" s="1"/>
  <c r="PE127" i="1" l="1"/>
  <c r="PE131" i="1" s="1"/>
  <c r="PD132" i="1"/>
  <c r="PC134" i="1"/>
  <c r="GZ113" i="1"/>
  <c r="GZ100" i="1"/>
  <c r="HA104" i="1"/>
  <c r="HA109" i="1"/>
  <c r="PF127" i="1" l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PE132" i="1"/>
  <c r="PD134" i="1"/>
  <c r="GZ114" i="1"/>
  <c r="GZ116" i="1" s="1"/>
  <c r="HA99" i="1"/>
  <c r="HB103" i="1" s="1"/>
  <c r="HA108" i="1"/>
  <c r="PF131" i="1" l="1"/>
  <c r="AI77" i="1"/>
  <c r="AJ77" i="1"/>
  <c r="AK77" i="1"/>
  <c r="PE134" i="1"/>
  <c r="PF132" i="1"/>
  <c r="HA113" i="1"/>
  <c r="HA100" i="1"/>
  <c r="HB104" i="1"/>
  <c r="HB109" i="1"/>
  <c r="AI81" i="1" l="1"/>
  <c r="AJ81" i="1"/>
  <c r="AK81" i="1"/>
  <c r="PF134" i="1"/>
  <c r="C82" i="1"/>
  <c r="C84" i="1" s="1"/>
  <c r="HA114" i="1"/>
  <c r="HA116" i="1" s="1"/>
  <c r="HB99" i="1"/>
  <c r="HC103" i="1" s="1"/>
  <c r="HB108" i="1"/>
  <c r="HB113" i="1" s="1"/>
  <c r="D82" i="1" l="1"/>
  <c r="D84" i="1" s="1"/>
  <c r="HB114" i="1"/>
  <c r="HB100" i="1"/>
  <c r="HC104" i="1"/>
  <c r="HC109" i="1"/>
  <c r="E82" i="1" l="1"/>
  <c r="E84" i="1" s="1"/>
  <c r="HB116" i="1"/>
  <c r="HC99" i="1"/>
  <c r="HD103" i="1" s="1"/>
  <c r="HC108" i="1"/>
  <c r="HC113" i="1" s="1"/>
  <c r="F82" i="1" l="1"/>
  <c r="F84" i="1" s="1"/>
  <c r="HC114" i="1"/>
  <c r="HC100" i="1"/>
  <c r="HD104" i="1"/>
  <c r="HD109" i="1"/>
  <c r="G82" i="1" l="1"/>
  <c r="G84" i="1" s="1"/>
  <c r="HC116" i="1"/>
  <c r="HD99" i="1"/>
  <c r="HE103" i="1" s="1"/>
  <c r="HD108" i="1"/>
  <c r="HD113" i="1" s="1"/>
  <c r="H82" i="1" l="1"/>
  <c r="H84" i="1" s="1"/>
  <c r="HD114" i="1"/>
  <c r="HD100" i="1"/>
  <c r="HE104" i="1"/>
  <c r="HE109" i="1"/>
  <c r="I82" i="1" l="1"/>
  <c r="I84" i="1" s="1"/>
  <c r="HD116" i="1"/>
  <c r="HE99" i="1"/>
  <c r="HF103" i="1" s="1"/>
  <c r="HE108" i="1"/>
  <c r="HE113" i="1" s="1"/>
  <c r="HE114" i="1" s="1"/>
  <c r="J82" i="1" l="1"/>
  <c r="J84" i="1" s="1"/>
  <c r="HE100" i="1"/>
  <c r="HE116" i="1" s="1"/>
  <c r="HF104" i="1"/>
  <c r="HF109" i="1"/>
  <c r="K82" i="1" l="1"/>
  <c r="K84" i="1" s="1"/>
  <c r="HF99" i="1"/>
  <c r="HG103" i="1" s="1"/>
  <c r="HF108" i="1"/>
  <c r="HF113" i="1" s="1"/>
  <c r="HF114" i="1" s="1"/>
  <c r="L82" i="1" l="1"/>
  <c r="L84" i="1" s="1"/>
  <c r="HF100" i="1"/>
  <c r="HF116" i="1" s="1"/>
  <c r="HG104" i="1"/>
  <c r="HG109" i="1"/>
  <c r="M82" i="1" l="1"/>
  <c r="M84" i="1" s="1"/>
  <c r="HG99" i="1"/>
  <c r="HH103" i="1" s="1"/>
  <c r="HG108" i="1"/>
  <c r="HG113" i="1" s="1"/>
  <c r="HG114" i="1" s="1"/>
  <c r="N82" i="1" l="1"/>
  <c r="N84" i="1" s="1"/>
  <c r="HG100" i="1"/>
  <c r="HG116" i="1" s="1"/>
  <c r="HH104" i="1"/>
  <c r="HH109" i="1"/>
  <c r="O82" i="1" l="1"/>
  <c r="O84" i="1" s="1"/>
  <c r="HH99" i="1"/>
  <c r="HH100" i="1" s="1"/>
  <c r="HH108" i="1"/>
  <c r="HH113" i="1" s="1"/>
  <c r="HH114" i="1" s="1"/>
  <c r="P82" i="1" l="1"/>
  <c r="P84" i="1" s="1"/>
  <c r="HH116" i="1"/>
  <c r="HI103" i="1"/>
  <c r="HI109" i="1" s="1"/>
  <c r="Q82" i="1" l="1"/>
  <c r="Q84" i="1" s="1"/>
  <c r="HI104" i="1"/>
  <c r="HI108" i="1" s="1"/>
  <c r="HI113" i="1" s="1"/>
  <c r="HI114" i="1" s="1"/>
  <c r="R82" i="1" l="1"/>
  <c r="R84" i="1" s="1"/>
  <c r="HI99" i="1"/>
  <c r="HI100" i="1" s="1"/>
  <c r="HI116" i="1" s="1"/>
  <c r="S82" i="1" l="1"/>
  <c r="S84" i="1" s="1"/>
  <c r="HJ103" i="1"/>
  <c r="HJ109" i="1" s="1"/>
  <c r="T82" i="1" l="1"/>
  <c r="T84" i="1" s="1"/>
  <c r="HJ104" i="1"/>
  <c r="U82" i="1" l="1"/>
  <c r="U84" i="1" s="1"/>
  <c r="HJ99" i="1"/>
  <c r="T50" i="1" s="1"/>
  <c r="HJ108" i="1"/>
  <c r="HJ113" i="1" s="1"/>
  <c r="HJ114" i="1" s="1"/>
  <c r="V82" i="1" l="1"/>
  <c r="V84" i="1" s="1"/>
  <c r="HJ100" i="1"/>
  <c r="HK103" i="1"/>
  <c r="W82" i="1" l="1"/>
  <c r="W84" i="1" s="1"/>
  <c r="HJ116" i="1"/>
  <c r="T51" i="1"/>
  <c r="HK104" i="1"/>
  <c r="HK109" i="1"/>
  <c r="X82" i="1" l="1"/>
  <c r="X84" i="1" s="1"/>
  <c r="HK108" i="1"/>
  <c r="HK99" i="1"/>
  <c r="Y82" i="1" l="1"/>
  <c r="Y84" i="1" s="1"/>
  <c r="HK113" i="1"/>
  <c r="HK100" i="1"/>
  <c r="HL103" i="1"/>
  <c r="Z82" i="1" l="1"/>
  <c r="Z84" i="1" s="1"/>
  <c r="HK114" i="1"/>
  <c r="HK116" i="1" s="1"/>
  <c r="HL104" i="1"/>
  <c r="HL109" i="1"/>
  <c r="AA82" i="1" l="1"/>
  <c r="AA84" i="1" s="1"/>
  <c r="HL108" i="1"/>
  <c r="HL99" i="1"/>
  <c r="AB82" i="1" l="1"/>
  <c r="AB84" i="1" s="1"/>
  <c r="HL113" i="1"/>
  <c r="HM103" i="1"/>
  <c r="HL100" i="1"/>
  <c r="AC82" i="1" l="1"/>
  <c r="AC84" i="1" s="1"/>
  <c r="HL114" i="1"/>
  <c r="HL116" i="1" s="1"/>
  <c r="HM104" i="1"/>
  <c r="HM109" i="1"/>
  <c r="AD82" i="1" l="1"/>
  <c r="AD84" i="1" s="1"/>
  <c r="HM108" i="1"/>
  <c r="HM99" i="1"/>
  <c r="AE82" i="1" l="1"/>
  <c r="AE84" i="1" s="1"/>
  <c r="HM113" i="1"/>
  <c r="HN103" i="1"/>
  <c r="HM100" i="1"/>
  <c r="AF82" i="1" l="1"/>
  <c r="AF84" i="1" s="1"/>
  <c r="HM114" i="1"/>
  <c r="HM116" i="1" s="1"/>
  <c r="HN104" i="1"/>
  <c r="HN109" i="1"/>
  <c r="AG82" i="1" l="1"/>
  <c r="HN108" i="1"/>
  <c r="HN99" i="1"/>
  <c r="AH82" i="1" l="1"/>
  <c r="HN113" i="1"/>
  <c r="HO103" i="1"/>
  <c r="HN100" i="1"/>
  <c r="AI82" i="1" l="1"/>
  <c r="HN114" i="1"/>
  <c r="HN116" i="1" s="1"/>
  <c r="HO109" i="1"/>
  <c r="HO104" i="1"/>
  <c r="AJ82" i="1" l="1"/>
  <c r="HO108" i="1"/>
  <c r="HO113" i="1" s="1"/>
  <c r="HO99" i="1"/>
  <c r="AK82" i="1" l="1"/>
  <c r="HO114" i="1"/>
  <c r="HP103" i="1"/>
  <c r="HO100" i="1"/>
  <c r="HO116" i="1" l="1"/>
  <c r="HP109" i="1"/>
  <c r="HP104" i="1"/>
  <c r="HP108" i="1" l="1"/>
  <c r="HP113" i="1" s="1"/>
  <c r="HP114" i="1" s="1"/>
  <c r="HP99" i="1"/>
  <c r="HQ103" i="1" l="1"/>
  <c r="HP100" i="1"/>
  <c r="HP116" i="1" s="1"/>
  <c r="HQ104" i="1" l="1"/>
  <c r="HQ109" i="1"/>
  <c r="HQ108" i="1" l="1"/>
  <c r="HQ113" i="1" s="1"/>
  <c r="HQ114" i="1" s="1"/>
  <c r="HQ99" i="1"/>
  <c r="HR103" i="1" l="1"/>
  <c r="HQ100" i="1"/>
  <c r="HQ116" i="1" s="1"/>
  <c r="HR109" i="1" l="1"/>
  <c r="HR104" i="1"/>
  <c r="HR108" i="1" l="1"/>
  <c r="HR113" i="1" s="1"/>
  <c r="HR114" i="1" s="1"/>
  <c r="HR99" i="1"/>
  <c r="HS103" i="1" l="1"/>
  <c r="HR100" i="1"/>
  <c r="HR116" i="1" s="1"/>
  <c r="HS104" i="1" l="1"/>
  <c r="HS109" i="1"/>
  <c r="HS108" i="1" l="1"/>
  <c r="HS113" i="1" s="1"/>
  <c r="HS114" i="1" s="1"/>
  <c r="HS99" i="1"/>
  <c r="HT103" i="1" l="1"/>
  <c r="HS100" i="1"/>
  <c r="HS116" i="1" s="1"/>
  <c r="HT104" i="1" l="1"/>
  <c r="HT109" i="1"/>
  <c r="HT108" i="1" l="1"/>
  <c r="HT113" i="1" s="1"/>
  <c r="HT114" i="1" s="1"/>
  <c r="HT99" i="1"/>
  <c r="HU103" i="1" l="1"/>
  <c r="HT100" i="1"/>
  <c r="HT116" i="1" s="1"/>
  <c r="HU104" i="1" l="1"/>
  <c r="HU109" i="1"/>
  <c r="HU108" i="1" l="1"/>
  <c r="HU113" i="1" s="1"/>
  <c r="HU114" i="1" s="1"/>
  <c r="HU99" i="1"/>
  <c r="HV103" i="1" l="1"/>
  <c r="HU100" i="1"/>
  <c r="HU116" i="1" s="1"/>
  <c r="HV109" i="1" l="1"/>
  <c r="HV104" i="1"/>
  <c r="HV108" i="1" l="1"/>
  <c r="HV113" i="1" s="1"/>
  <c r="HV114" i="1" s="1"/>
  <c r="HV99" i="1"/>
  <c r="U50" i="1" s="1"/>
  <c r="HW103" i="1" l="1"/>
  <c r="HV100" i="1"/>
  <c r="HV116" i="1" l="1"/>
  <c r="U51" i="1"/>
  <c r="HW109" i="1"/>
  <c r="HW104" i="1"/>
  <c r="HW108" i="1" l="1"/>
  <c r="HW99" i="1"/>
  <c r="HW113" i="1" l="1"/>
  <c r="HX103" i="1"/>
  <c r="HW100" i="1"/>
  <c r="HW114" i="1" l="1"/>
  <c r="HW116" i="1" s="1"/>
  <c r="HX104" i="1"/>
  <c r="HX109" i="1"/>
  <c r="HX108" i="1" l="1"/>
  <c r="HX99" i="1"/>
  <c r="HX113" i="1" l="1"/>
  <c r="HY103" i="1"/>
  <c r="HX100" i="1"/>
  <c r="HX114" i="1" l="1"/>
  <c r="HX116" i="1" s="1"/>
  <c r="HY104" i="1"/>
  <c r="HY109" i="1"/>
  <c r="HY108" i="1" l="1"/>
  <c r="HY99" i="1"/>
  <c r="HY113" i="1" l="1"/>
  <c r="HZ103" i="1"/>
  <c r="HY100" i="1"/>
  <c r="HY114" i="1" l="1"/>
  <c r="HY116" i="1" s="1"/>
  <c r="HZ109" i="1"/>
  <c r="HZ104" i="1"/>
  <c r="HZ108" i="1" l="1"/>
  <c r="HZ99" i="1"/>
  <c r="HZ113" i="1" l="1"/>
  <c r="IA103" i="1"/>
  <c r="HZ100" i="1"/>
  <c r="HZ114" i="1" l="1"/>
  <c r="HZ116" i="1" s="1"/>
  <c r="IA109" i="1"/>
  <c r="IA104" i="1"/>
  <c r="IA108" i="1" l="1"/>
  <c r="IA113" i="1" s="1"/>
  <c r="IA99" i="1"/>
  <c r="IA114" i="1" l="1"/>
  <c r="IB103" i="1"/>
  <c r="IA100" i="1"/>
  <c r="IA116" i="1" l="1"/>
  <c r="IB104" i="1"/>
  <c r="IB109" i="1"/>
  <c r="IB108" i="1" l="1"/>
  <c r="IB113" i="1" s="1"/>
  <c r="IB114" i="1" s="1"/>
  <c r="IB99" i="1"/>
  <c r="IC103" i="1" l="1"/>
  <c r="IB100" i="1"/>
  <c r="IB116" i="1" s="1"/>
  <c r="IC104" i="1" l="1"/>
  <c r="IC109" i="1"/>
  <c r="IC108" i="1" l="1"/>
  <c r="IC113" i="1" s="1"/>
  <c r="IC114" i="1" s="1"/>
  <c r="IC99" i="1"/>
  <c r="ID103" i="1" l="1"/>
  <c r="IC100" i="1"/>
  <c r="IC116" i="1" s="1"/>
  <c r="ID109" i="1" l="1"/>
  <c r="ID104" i="1"/>
  <c r="ID108" i="1" l="1"/>
  <c r="ID113" i="1" s="1"/>
  <c r="ID114" i="1" s="1"/>
  <c r="ID99" i="1"/>
  <c r="IE103" i="1" l="1"/>
  <c r="ID100" i="1"/>
  <c r="ID116" i="1" s="1"/>
  <c r="IE104" i="1" l="1"/>
  <c r="IE109" i="1"/>
  <c r="IE108" i="1" l="1"/>
  <c r="IE113" i="1" s="1"/>
  <c r="IE114" i="1" s="1"/>
  <c r="IE99" i="1"/>
  <c r="IF103" i="1" l="1"/>
  <c r="IE100" i="1"/>
  <c r="IE116" i="1" s="1"/>
  <c r="IF104" i="1" l="1"/>
  <c r="IF109" i="1"/>
  <c r="IF108" i="1" l="1"/>
  <c r="IF113" i="1" s="1"/>
  <c r="IF114" i="1" s="1"/>
  <c r="IF99" i="1"/>
  <c r="IG103" i="1" l="1"/>
  <c r="IF100" i="1"/>
  <c r="IF116" i="1" s="1"/>
  <c r="IG109" i="1" l="1"/>
  <c r="IG104" i="1"/>
  <c r="IG108" i="1" l="1"/>
  <c r="IG113" i="1" s="1"/>
  <c r="IG114" i="1" s="1"/>
  <c r="IG99" i="1"/>
  <c r="IH103" i="1" l="1"/>
  <c r="IG100" i="1"/>
  <c r="IG116" i="1" s="1"/>
  <c r="C54" i="1" l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IH104" i="1"/>
  <c r="C55" i="1" s="1"/>
  <c r="IH109" i="1"/>
  <c r="C58" i="1" l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IH108" i="1"/>
  <c r="IH99" i="1"/>
  <c r="V50" i="1" s="1"/>
  <c r="IH113" i="1" l="1"/>
  <c r="C57" i="1"/>
  <c r="C63" i="1" s="1"/>
  <c r="C64" i="1" s="1"/>
  <c r="D57" i="1"/>
  <c r="D63" i="1" s="1"/>
  <c r="E57" i="1"/>
  <c r="E63" i="1" s="1"/>
  <c r="F57" i="1"/>
  <c r="F63" i="1" s="1"/>
  <c r="G57" i="1"/>
  <c r="G63" i="1" s="1"/>
  <c r="H57" i="1"/>
  <c r="H63" i="1" s="1"/>
  <c r="I57" i="1"/>
  <c r="I63" i="1" s="1"/>
  <c r="J57" i="1"/>
  <c r="J63" i="1" s="1"/>
  <c r="K57" i="1"/>
  <c r="K63" i="1" s="1"/>
  <c r="L57" i="1"/>
  <c r="L63" i="1" s="1"/>
  <c r="M57" i="1"/>
  <c r="M63" i="1" s="1"/>
  <c r="N57" i="1"/>
  <c r="N63" i="1" s="1"/>
  <c r="O57" i="1"/>
  <c r="O63" i="1" s="1"/>
  <c r="P57" i="1"/>
  <c r="P63" i="1" s="1"/>
  <c r="Q57" i="1"/>
  <c r="Q63" i="1" s="1"/>
  <c r="R57" i="1"/>
  <c r="R63" i="1" s="1"/>
  <c r="S57" i="1"/>
  <c r="S63" i="1" s="1"/>
  <c r="T57" i="1"/>
  <c r="T63" i="1" s="1"/>
  <c r="U57" i="1"/>
  <c r="U63" i="1" s="1"/>
  <c r="V57" i="1"/>
  <c r="V63" i="1" s="1"/>
  <c r="II99" i="1"/>
  <c r="IH100" i="1"/>
  <c r="C68" i="1" l="1"/>
  <c r="C86" i="1" s="1"/>
  <c r="B40" i="1" s="1"/>
  <c r="B41" i="1" s="1"/>
  <c r="D64" i="1"/>
  <c r="IH114" i="1"/>
  <c r="II114" i="1" s="1"/>
  <c r="IJ114" i="1" s="1"/>
  <c r="IK114" i="1" s="1"/>
  <c r="IL114" i="1" s="1"/>
  <c r="IM114" i="1" s="1"/>
  <c r="IN114" i="1" s="1"/>
  <c r="IO114" i="1" s="1"/>
  <c r="IP114" i="1" s="1"/>
  <c r="IQ114" i="1" s="1"/>
  <c r="IR114" i="1" s="1"/>
  <c r="IS114" i="1" s="1"/>
  <c r="IT114" i="1" s="1"/>
  <c r="IU114" i="1" s="1"/>
  <c r="IV114" i="1" s="1"/>
  <c r="IW114" i="1" s="1"/>
  <c r="IX114" i="1" s="1"/>
  <c r="IY114" i="1" s="1"/>
  <c r="IZ114" i="1" s="1"/>
  <c r="JA114" i="1" s="1"/>
  <c r="JB114" i="1" s="1"/>
  <c r="JC114" i="1" s="1"/>
  <c r="JD114" i="1" s="1"/>
  <c r="JE114" i="1" s="1"/>
  <c r="JF114" i="1" s="1"/>
  <c r="JG114" i="1" s="1"/>
  <c r="JH114" i="1" s="1"/>
  <c r="JI114" i="1" s="1"/>
  <c r="JJ114" i="1" s="1"/>
  <c r="JK114" i="1" s="1"/>
  <c r="JL114" i="1" s="1"/>
  <c r="JM114" i="1" s="1"/>
  <c r="JN114" i="1" s="1"/>
  <c r="JO114" i="1" s="1"/>
  <c r="JP114" i="1" s="1"/>
  <c r="JQ114" i="1" s="1"/>
  <c r="JR114" i="1" s="1"/>
  <c r="JS114" i="1" s="1"/>
  <c r="JT114" i="1" s="1"/>
  <c r="JU114" i="1" s="1"/>
  <c r="JV114" i="1" s="1"/>
  <c r="JW114" i="1" s="1"/>
  <c r="JX114" i="1" s="1"/>
  <c r="JY114" i="1" s="1"/>
  <c r="JZ114" i="1" s="1"/>
  <c r="KA114" i="1" s="1"/>
  <c r="KB114" i="1" s="1"/>
  <c r="KC114" i="1" s="1"/>
  <c r="KD114" i="1" s="1"/>
  <c r="KE114" i="1" s="1"/>
  <c r="KF114" i="1" s="1"/>
  <c r="KG114" i="1" s="1"/>
  <c r="KH114" i="1" s="1"/>
  <c r="KI114" i="1" s="1"/>
  <c r="KJ114" i="1" s="1"/>
  <c r="KK114" i="1" s="1"/>
  <c r="KL114" i="1" s="1"/>
  <c r="KM114" i="1" s="1"/>
  <c r="KN114" i="1" s="1"/>
  <c r="KO114" i="1" s="1"/>
  <c r="KP114" i="1" s="1"/>
  <c r="KQ114" i="1" s="1"/>
  <c r="KR114" i="1" s="1"/>
  <c r="KS114" i="1" s="1"/>
  <c r="KT114" i="1" s="1"/>
  <c r="KU114" i="1" s="1"/>
  <c r="KV114" i="1" s="1"/>
  <c r="KW114" i="1" s="1"/>
  <c r="KX114" i="1" s="1"/>
  <c r="KY114" i="1" s="1"/>
  <c r="KZ114" i="1" s="1"/>
  <c r="LA114" i="1" s="1"/>
  <c r="LB114" i="1" s="1"/>
  <c r="LC114" i="1" s="1"/>
  <c r="LD114" i="1" s="1"/>
  <c r="LE114" i="1" s="1"/>
  <c r="LF114" i="1" s="1"/>
  <c r="LG114" i="1" s="1"/>
  <c r="LH114" i="1" s="1"/>
  <c r="LI114" i="1" s="1"/>
  <c r="LJ114" i="1" s="1"/>
  <c r="LK114" i="1" s="1"/>
  <c r="LL114" i="1" s="1"/>
  <c r="LM114" i="1" s="1"/>
  <c r="LN114" i="1" s="1"/>
  <c r="LO114" i="1" s="1"/>
  <c r="LP114" i="1" s="1"/>
  <c r="LQ114" i="1" s="1"/>
  <c r="LR114" i="1" s="1"/>
  <c r="LS114" i="1" s="1"/>
  <c r="LT114" i="1" s="1"/>
  <c r="LU114" i="1" s="1"/>
  <c r="LV114" i="1" s="1"/>
  <c r="LW114" i="1" s="1"/>
  <c r="LX114" i="1" s="1"/>
  <c r="LY114" i="1" s="1"/>
  <c r="LZ114" i="1" s="1"/>
  <c r="MA114" i="1" s="1"/>
  <c r="MB114" i="1" s="1"/>
  <c r="MC114" i="1" s="1"/>
  <c r="MD114" i="1" s="1"/>
  <c r="ME114" i="1" s="1"/>
  <c r="MF114" i="1" s="1"/>
  <c r="MG114" i="1" s="1"/>
  <c r="MH114" i="1" s="1"/>
  <c r="MI114" i="1" s="1"/>
  <c r="MJ114" i="1" s="1"/>
  <c r="MK114" i="1" s="1"/>
  <c r="ML114" i="1" s="1"/>
  <c r="MM114" i="1" s="1"/>
  <c r="MN114" i="1" s="1"/>
  <c r="MO114" i="1" s="1"/>
  <c r="MP114" i="1" s="1"/>
  <c r="MQ114" i="1" s="1"/>
  <c r="MR114" i="1" s="1"/>
  <c r="MS114" i="1" s="1"/>
  <c r="MT114" i="1" s="1"/>
  <c r="MU114" i="1" s="1"/>
  <c r="MV114" i="1" s="1"/>
  <c r="MW114" i="1" s="1"/>
  <c r="MX114" i="1" s="1"/>
  <c r="MY114" i="1" s="1"/>
  <c r="MZ114" i="1" s="1"/>
  <c r="NA114" i="1" s="1"/>
  <c r="NB114" i="1" s="1"/>
  <c r="NC114" i="1" s="1"/>
  <c r="ND114" i="1" s="1"/>
  <c r="NE114" i="1" s="1"/>
  <c r="NF114" i="1" s="1"/>
  <c r="NG114" i="1" s="1"/>
  <c r="NH114" i="1" s="1"/>
  <c r="NI114" i="1" s="1"/>
  <c r="NJ114" i="1" s="1"/>
  <c r="NK114" i="1" s="1"/>
  <c r="NL114" i="1" s="1"/>
  <c r="NM114" i="1" s="1"/>
  <c r="NN114" i="1" s="1"/>
  <c r="NO114" i="1" s="1"/>
  <c r="NP114" i="1" s="1"/>
  <c r="NQ114" i="1" s="1"/>
  <c r="NR114" i="1" s="1"/>
  <c r="NS114" i="1" s="1"/>
  <c r="NT114" i="1" s="1"/>
  <c r="NU114" i="1" s="1"/>
  <c r="NV114" i="1" s="1"/>
  <c r="NW114" i="1" s="1"/>
  <c r="NX114" i="1" s="1"/>
  <c r="NY114" i="1" s="1"/>
  <c r="NZ114" i="1" s="1"/>
  <c r="OA114" i="1" s="1"/>
  <c r="OB114" i="1" s="1"/>
  <c r="OC114" i="1" s="1"/>
  <c r="OD114" i="1" s="1"/>
  <c r="OE114" i="1" s="1"/>
  <c r="OF114" i="1" s="1"/>
  <c r="OG114" i="1" s="1"/>
  <c r="OH114" i="1" s="1"/>
  <c r="OI114" i="1" s="1"/>
  <c r="OJ114" i="1" s="1"/>
  <c r="OK114" i="1" s="1"/>
  <c r="OL114" i="1" s="1"/>
  <c r="OM114" i="1" s="1"/>
  <c r="ON114" i="1" s="1"/>
  <c r="OO114" i="1" s="1"/>
  <c r="OP114" i="1" s="1"/>
  <c r="OQ114" i="1" s="1"/>
  <c r="OR114" i="1" s="1"/>
  <c r="OS114" i="1" s="1"/>
  <c r="OT114" i="1" s="1"/>
  <c r="OU114" i="1" s="1"/>
  <c r="OV114" i="1" s="1"/>
  <c r="OW114" i="1" s="1"/>
  <c r="OX114" i="1" s="1"/>
  <c r="OY114" i="1" s="1"/>
  <c r="OZ114" i="1" s="1"/>
  <c r="PA114" i="1" s="1"/>
  <c r="PB114" i="1" s="1"/>
  <c r="PC114" i="1" s="1"/>
  <c r="PD114" i="1" s="1"/>
  <c r="PE114" i="1" s="1"/>
  <c r="PF114" i="1" s="1"/>
  <c r="V51" i="1"/>
  <c r="IJ99" i="1"/>
  <c r="II100" i="1"/>
  <c r="D68" i="1" l="1"/>
  <c r="D86" i="1" s="1"/>
  <c r="C40" i="1" s="1"/>
  <c r="C41" i="1" s="1"/>
  <c r="E64" i="1"/>
  <c r="II116" i="1"/>
  <c r="IH116" i="1"/>
  <c r="IK99" i="1"/>
  <c r="IJ100" i="1"/>
  <c r="IJ116" i="1" s="1"/>
  <c r="E68" i="1" l="1"/>
  <c r="E86" i="1" s="1"/>
  <c r="D40" i="1" s="1"/>
  <c r="D41" i="1" s="1"/>
  <c r="F64" i="1"/>
  <c r="IL99" i="1"/>
  <c r="IK100" i="1"/>
  <c r="IK116" i="1" s="1"/>
  <c r="F68" i="1" l="1"/>
  <c r="F86" i="1" s="1"/>
  <c r="E40" i="1" s="1"/>
  <c r="E41" i="1" s="1"/>
  <c r="G64" i="1"/>
  <c r="IM99" i="1"/>
  <c r="IL100" i="1"/>
  <c r="IL116" i="1" s="1"/>
  <c r="G68" i="1" l="1"/>
  <c r="G86" i="1" s="1"/>
  <c r="F40" i="1" s="1"/>
  <c r="F41" i="1" s="1"/>
  <c r="H64" i="1"/>
  <c r="IN99" i="1"/>
  <c r="IM100" i="1"/>
  <c r="IM116" i="1" s="1"/>
  <c r="H68" i="1" l="1"/>
  <c r="H86" i="1" s="1"/>
  <c r="G40" i="1" s="1"/>
  <c r="G41" i="1" s="1"/>
  <c r="I64" i="1"/>
  <c r="IO99" i="1"/>
  <c r="IN100" i="1"/>
  <c r="IN116" i="1" s="1"/>
  <c r="I68" i="1" l="1"/>
  <c r="I86" i="1" s="1"/>
  <c r="H40" i="1" s="1"/>
  <c r="H41" i="1" s="1"/>
  <c r="J64" i="1"/>
  <c r="IP99" i="1"/>
  <c r="IO100" i="1"/>
  <c r="IO116" i="1" s="1"/>
  <c r="J68" i="1" l="1"/>
  <c r="J86" i="1" s="1"/>
  <c r="I40" i="1" s="1"/>
  <c r="I41" i="1" s="1"/>
  <c r="K64" i="1"/>
  <c r="IQ99" i="1"/>
  <c r="IP100" i="1"/>
  <c r="IP116" i="1" s="1"/>
  <c r="K68" i="1" l="1"/>
  <c r="K86" i="1" s="1"/>
  <c r="J40" i="1" s="1"/>
  <c r="J41" i="1" s="1"/>
  <c r="L64" i="1"/>
  <c r="IR99" i="1"/>
  <c r="IQ100" i="1"/>
  <c r="IQ116" i="1" s="1"/>
  <c r="L68" i="1" l="1"/>
  <c r="L86" i="1" s="1"/>
  <c r="K40" i="1" s="1"/>
  <c r="K41" i="1" s="1"/>
  <c r="M64" i="1"/>
  <c r="IS99" i="1"/>
  <c r="IR100" i="1"/>
  <c r="IR116" i="1" s="1"/>
  <c r="M68" i="1" l="1"/>
  <c r="M86" i="1" s="1"/>
  <c r="L40" i="1" s="1"/>
  <c r="L41" i="1" s="1"/>
  <c r="N64" i="1"/>
  <c r="IT99" i="1"/>
  <c r="W50" i="1" s="1"/>
  <c r="IS100" i="1"/>
  <c r="IS116" i="1" s="1"/>
  <c r="N68" i="1" l="1"/>
  <c r="N86" i="1" s="1"/>
  <c r="M40" i="1" s="1"/>
  <c r="M41" i="1" s="1"/>
  <c r="O64" i="1"/>
  <c r="IU99" i="1"/>
  <c r="IT100" i="1"/>
  <c r="O68" i="1" l="1"/>
  <c r="O86" i="1" s="1"/>
  <c r="N40" i="1" s="1"/>
  <c r="N41" i="1" s="1"/>
  <c r="P64" i="1"/>
  <c r="IT116" i="1"/>
  <c r="W51" i="1"/>
  <c r="IV99" i="1"/>
  <c r="IU100" i="1"/>
  <c r="IU116" i="1" s="1"/>
  <c r="P68" i="1" l="1"/>
  <c r="P86" i="1" s="1"/>
  <c r="O40" i="1" s="1"/>
  <c r="O41" i="1" s="1"/>
  <c r="Q64" i="1"/>
  <c r="IW99" i="1"/>
  <c r="IV100" i="1"/>
  <c r="IV116" i="1" s="1"/>
  <c r="Q68" i="1" l="1"/>
  <c r="Q86" i="1" s="1"/>
  <c r="P40" i="1" s="1"/>
  <c r="P41" i="1" s="1"/>
  <c r="R64" i="1"/>
  <c r="IX99" i="1"/>
  <c r="IW100" i="1"/>
  <c r="IW116" i="1" s="1"/>
  <c r="R68" i="1" l="1"/>
  <c r="R86" i="1" s="1"/>
  <c r="Q40" i="1" s="1"/>
  <c r="Q41" i="1" s="1"/>
  <c r="S64" i="1"/>
  <c r="IY99" i="1"/>
  <c r="IX100" i="1"/>
  <c r="IX116" i="1" s="1"/>
  <c r="S68" i="1" l="1"/>
  <c r="S86" i="1" s="1"/>
  <c r="R40" i="1" s="1"/>
  <c r="R41" i="1" s="1"/>
  <c r="T64" i="1"/>
  <c r="IZ99" i="1"/>
  <c r="IY100" i="1"/>
  <c r="IY116" i="1" s="1"/>
  <c r="T68" i="1" l="1"/>
  <c r="T86" i="1" s="1"/>
  <c r="S40" i="1" s="1"/>
  <c r="S41" i="1" s="1"/>
  <c r="U64" i="1"/>
  <c r="JA99" i="1"/>
  <c r="IZ100" i="1"/>
  <c r="IZ116" i="1" s="1"/>
  <c r="U68" i="1" l="1"/>
  <c r="U86" i="1" s="1"/>
  <c r="T40" i="1" s="1"/>
  <c r="T41" i="1" s="1"/>
  <c r="V64" i="1"/>
  <c r="JA100" i="1"/>
  <c r="JA116" i="1" s="1"/>
  <c r="JB99" i="1"/>
  <c r="V68" i="1" l="1"/>
  <c r="V86" i="1" s="1"/>
  <c r="U40" i="1" s="1"/>
  <c r="U41" i="1" s="1"/>
  <c r="W64" i="1"/>
  <c r="JC99" i="1"/>
  <c r="JB100" i="1"/>
  <c r="JB116" i="1" s="1"/>
  <c r="W68" i="1" l="1"/>
  <c r="W86" i="1" s="1"/>
  <c r="V40" i="1" s="1"/>
  <c r="V41" i="1" s="1"/>
  <c r="X64" i="1"/>
  <c r="Y64" i="1" s="1"/>
  <c r="Z64" i="1" s="1"/>
  <c r="AA64" i="1" s="1"/>
  <c r="AB64" i="1" s="1"/>
  <c r="AC64" i="1" s="1"/>
  <c r="AD64" i="1" s="1"/>
  <c r="AE64" i="1" s="1"/>
  <c r="JD99" i="1"/>
  <c r="JC100" i="1"/>
  <c r="JC116" i="1" s="1"/>
  <c r="AF64" i="1" l="1"/>
  <c r="JE99" i="1"/>
  <c r="JD100" i="1"/>
  <c r="JD116" i="1" s="1"/>
  <c r="AG64" i="1" l="1"/>
  <c r="JF99" i="1"/>
  <c r="X50" i="1" s="1"/>
  <c r="JE100" i="1"/>
  <c r="JE116" i="1" s="1"/>
  <c r="AH64" i="1" l="1"/>
  <c r="JG99" i="1"/>
  <c r="JF100" i="1"/>
  <c r="AI64" i="1" l="1"/>
  <c r="JF116" i="1"/>
  <c r="X51" i="1"/>
  <c r="JH99" i="1"/>
  <c r="JG100" i="1"/>
  <c r="JG116" i="1" s="1"/>
  <c r="X68" i="1" l="1"/>
  <c r="X86" i="1" s="1"/>
  <c r="W40" i="1" s="1"/>
  <c r="W41" i="1" s="1"/>
  <c r="AJ64" i="1"/>
  <c r="JI99" i="1"/>
  <c r="JH100" i="1"/>
  <c r="JH116" i="1" s="1"/>
  <c r="AK64" i="1" l="1"/>
  <c r="JJ99" i="1"/>
  <c r="JI100" i="1"/>
  <c r="JI116" i="1" s="1"/>
  <c r="JK99" i="1" l="1"/>
  <c r="JJ100" i="1"/>
  <c r="JJ116" i="1" s="1"/>
  <c r="JL99" i="1" l="1"/>
  <c r="JK100" i="1"/>
  <c r="JK116" i="1" s="1"/>
  <c r="JM99" i="1" l="1"/>
  <c r="JL100" i="1"/>
  <c r="JL116" i="1" s="1"/>
  <c r="JN99" i="1" l="1"/>
  <c r="JM100" i="1"/>
  <c r="JM116" i="1" s="1"/>
  <c r="JO99" i="1" l="1"/>
  <c r="JN100" i="1"/>
  <c r="JN116" i="1" s="1"/>
  <c r="JP99" i="1" l="1"/>
  <c r="JO100" i="1"/>
  <c r="JO116" i="1" s="1"/>
  <c r="JQ99" i="1" l="1"/>
  <c r="JP100" i="1"/>
  <c r="JP116" i="1" s="1"/>
  <c r="JR99" i="1" l="1"/>
  <c r="Y50" i="1" s="1"/>
  <c r="JQ100" i="1"/>
  <c r="JQ116" i="1" s="1"/>
  <c r="JS99" i="1" l="1"/>
  <c r="JR100" i="1"/>
  <c r="JR116" i="1" l="1"/>
  <c r="Y51" i="1"/>
  <c r="JT99" i="1"/>
  <c r="JS100" i="1"/>
  <c r="JS116" i="1" s="1"/>
  <c r="Y68" i="1" l="1"/>
  <c r="Y86" i="1" s="1"/>
  <c r="X40" i="1" s="1"/>
  <c r="X41" i="1" s="1"/>
  <c r="JU99" i="1"/>
  <c r="JT100" i="1"/>
  <c r="JT116" i="1" s="1"/>
  <c r="JV99" i="1" l="1"/>
  <c r="JU100" i="1"/>
  <c r="JU116" i="1" s="1"/>
  <c r="JW99" i="1" l="1"/>
  <c r="JV100" i="1"/>
  <c r="JV116" i="1" s="1"/>
  <c r="JX99" i="1" l="1"/>
  <c r="JW100" i="1"/>
  <c r="JW116" i="1" s="1"/>
  <c r="JY99" i="1" l="1"/>
  <c r="JX100" i="1"/>
  <c r="JX116" i="1" s="1"/>
  <c r="JZ99" i="1" l="1"/>
  <c r="JY100" i="1"/>
  <c r="JY116" i="1" s="1"/>
  <c r="KA99" i="1" l="1"/>
  <c r="JZ100" i="1"/>
  <c r="JZ116" i="1" s="1"/>
  <c r="KB99" i="1" l="1"/>
  <c r="KA100" i="1"/>
  <c r="KA116" i="1" s="1"/>
  <c r="KC99" i="1" l="1"/>
  <c r="KB100" i="1"/>
  <c r="KB116" i="1" s="1"/>
  <c r="KD99" i="1" l="1"/>
  <c r="Z50" i="1" s="1"/>
  <c r="KC100" i="1"/>
  <c r="KC116" i="1" s="1"/>
  <c r="KE99" i="1" l="1"/>
  <c r="KD100" i="1"/>
  <c r="KD116" i="1" l="1"/>
  <c r="Z51" i="1"/>
  <c r="KF99" i="1"/>
  <c r="KE100" i="1"/>
  <c r="KE116" i="1" s="1"/>
  <c r="Z68" i="1" l="1"/>
  <c r="Z86" i="1" s="1"/>
  <c r="Y40" i="1" s="1"/>
  <c r="Y41" i="1" s="1"/>
  <c r="KG99" i="1"/>
  <c r="KF100" i="1"/>
  <c r="KF116" i="1" s="1"/>
  <c r="KH99" i="1" l="1"/>
  <c r="KG100" i="1"/>
  <c r="KG116" i="1" s="1"/>
  <c r="KI99" i="1" l="1"/>
  <c r="KH100" i="1"/>
  <c r="KH116" i="1" s="1"/>
  <c r="KJ99" i="1" l="1"/>
  <c r="KI100" i="1"/>
  <c r="KI116" i="1" s="1"/>
  <c r="KK99" i="1" l="1"/>
  <c r="KJ100" i="1"/>
  <c r="KJ116" i="1" s="1"/>
  <c r="KL99" i="1" l="1"/>
  <c r="KK100" i="1"/>
  <c r="KK116" i="1" s="1"/>
  <c r="KM99" i="1" l="1"/>
  <c r="KL100" i="1"/>
  <c r="KL116" i="1" s="1"/>
  <c r="KN99" i="1" l="1"/>
  <c r="KM100" i="1"/>
  <c r="KM116" i="1" s="1"/>
  <c r="KO99" i="1" l="1"/>
  <c r="KN100" i="1"/>
  <c r="KN116" i="1" s="1"/>
  <c r="KP99" i="1" l="1"/>
  <c r="AA50" i="1" s="1"/>
  <c r="KO100" i="1"/>
  <c r="KO116" i="1" s="1"/>
  <c r="KQ99" i="1" l="1"/>
  <c r="KP100" i="1"/>
  <c r="KP116" i="1" l="1"/>
  <c r="AA51" i="1"/>
  <c r="KR99" i="1"/>
  <c r="KQ100" i="1"/>
  <c r="KQ116" i="1" s="1"/>
  <c r="AA68" i="1" l="1"/>
  <c r="AA86" i="1" s="1"/>
  <c r="Z40" i="1" s="1"/>
  <c r="Z41" i="1" s="1"/>
  <c r="KS99" i="1"/>
  <c r="KR100" i="1"/>
  <c r="KR116" i="1" s="1"/>
  <c r="KT99" i="1" l="1"/>
  <c r="KS100" i="1"/>
  <c r="KS116" i="1" s="1"/>
  <c r="KU99" i="1" l="1"/>
  <c r="KT100" i="1"/>
  <c r="KT116" i="1" s="1"/>
  <c r="KV99" i="1" l="1"/>
  <c r="KU100" i="1"/>
  <c r="KU116" i="1" s="1"/>
  <c r="KW99" i="1" l="1"/>
  <c r="KV100" i="1"/>
  <c r="KV116" i="1" s="1"/>
  <c r="KX99" i="1" l="1"/>
  <c r="KW100" i="1"/>
  <c r="KW116" i="1" s="1"/>
  <c r="KY99" i="1" l="1"/>
  <c r="KX100" i="1"/>
  <c r="KX116" i="1" s="1"/>
  <c r="KZ99" i="1" l="1"/>
  <c r="KY100" i="1"/>
  <c r="KY116" i="1" s="1"/>
  <c r="LA99" i="1" l="1"/>
  <c r="KZ100" i="1"/>
  <c r="KZ116" i="1" s="1"/>
  <c r="LB99" i="1" l="1"/>
  <c r="AB50" i="1" s="1"/>
  <c r="LA100" i="1"/>
  <c r="LA116" i="1" s="1"/>
  <c r="LC99" i="1" l="1"/>
  <c r="LB100" i="1"/>
  <c r="LB116" i="1" l="1"/>
  <c r="AB51" i="1"/>
  <c r="LD99" i="1"/>
  <c r="LC100" i="1"/>
  <c r="LC116" i="1" s="1"/>
  <c r="AB68" i="1" l="1"/>
  <c r="AB86" i="1" s="1"/>
  <c r="AA40" i="1" s="1"/>
  <c r="AA41" i="1" s="1"/>
  <c r="LE99" i="1"/>
  <c r="LD100" i="1"/>
  <c r="LD116" i="1" s="1"/>
  <c r="LF99" i="1" l="1"/>
  <c r="LE100" i="1"/>
  <c r="LE116" i="1" s="1"/>
  <c r="LG99" i="1" l="1"/>
  <c r="LF100" i="1"/>
  <c r="LF116" i="1" s="1"/>
  <c r="LH99" i="1" l="1"/>
  <c r="LG100" i="1"/>
  <c r="LG116" i="1" s="1"/>
  <c r="LI99" i="1" l="1"/>
  <c r="LH100" i="1"/>
  <c r="LH116" i="1" s="1"/>
  <c r="LJ99" i="1" l="1"/>
  <c r="LI100" i="1"/>
  <c r="LI116" i="1" s="1"/>
  <c r="LK99" i="1" l="1"/>
  <c r="LJ100" i="1"/>
  <c r="LJ116" i="1" s="1"/>
  <c r="LL99" i="1" l="1"/>
  <c r="LK100" i="1"/>
  <c r="LK116" i="1" s="1"/>
  <c r="LM99" i="1" l="1"/>
  <c r="LL100" i="1"/>
  <c r="LL116" i="1" s="1"/>
  <c r="LN99" i="1" l="1"/>
  <c r="AC50" i="1" s="1"/>
  <c r="LM100" i="1"/>
  <c r="LM116" i="1" s="1"/>
  <c r="LO99" i="1" l="1"/>
  <c r="LN100" i="1"/>
  <c r="LN116" i="1" l="1"/>
  <c r="AC51" i="1"/>
  <c r="LP99" i="1"/>
  <c r="LO100" i="1"/>
  <c r="LO116" i="1" s="1"/>
  <c r="AC68" i="1" l="1"/>
  <c r="AC86" i="1" s="1"/>
  <c r="AB40" i="1" s="1"/>
  <c r="AB41" i="1" s="1"/>
  <c r="LQ99" i="1"/>
  <c r="LP100" i="1"/>
  <c r="LP116" i="1" s="1"/>
  <c r="LR99" i="1" l="1"/>
  <c r="LQ100" i="1"/>
  <c r="LQ116" i="1" s="1"/>
  <c r="LS99" i="1" l="1"/>
  <c r="LR100" i="1"/>
  <c r="LR116" i="1" s="1"/>
  <c r="LT99" i="1" l="1"/>
  <c r="LS100" i="1"/>
  <c r="LS116" i="1" s="1"/>
  <c r="LU99" i="1" l="1"/>
  <c r="LT100" i="1"/>
  <c r="LT116" i="1" s="1"/>
  <c r="LV99" i="1" l="1"/>
  <c r="LU100" i="1"/>
  <c r="LU116" i="1" s="1"/>
  <c r="LW99" i="1" l="1"/>
  <c r="LV100" i="1"/>
  <c r="LV116" i="1" s="1"/>
  <c r="LX99" i="1" l="1"/>
  <c r="LW100" i="1"/>
  <c r="LW116" i="1" s="1"/>
  <c r="LY99" i="1" l="1"/>
  <c r="LX100" i="1"/>
  <c r="LX116" i="1" s="1"/>
  <c r="LZ99" i="1" l="1"/>
  <c r="AD50" i="1" s="1"/>
  <c r="LY100" i="1"/>
  <c r="LY116" i="1" s="1"/>
  <c r="MA99" i="1" l="1"/>
  <c r="LZ100" i="1"/>
  <c r="LZ116" i="1" l="1"/>
  <c r="AD51" i="1"/>
  <c r="MB99" i="1"/>
  <c r="MA100" i="1"/>
  <c r="MA116" i="1" s="1"/>
  <c r="AD68" i="1" l="1"/>
  <c r="AD86" i="1" s="1"/>
  <c r="AC40" i="1" s="1"/>
  <c r="AC41" i="1" s="1"/>
  <c r="MC99" i="1"/>
  <c r="MB100" i="1"/>
  <c r="MB116" i="1" s="1"/>
  <c r="MD99" i="1" l="1"/>
  <c r="MC100" i="1"/>
  <c r="MC116" i="1" s="1"/>
  <c r="ME99" i="1" l="1"/>
  <c r="MD100" i="1"/>
  <c r="MD116" i="1" s="1"/>
  <c r="MF99" i="1" l="1"/>
  <c r="ME100" i="1"/>
  <c r="ME116" i="1" s="1"/>
  <c r="MG99" i="1" l="1"/>
  <c r="MF100" i="1"/>
  <c r="MF116" i="1" s="1"/>
  <c r="MH99" i="1" l="1"/>
  <c r="MG100" i="1"/>
  <c r="MG116" i="1" s="1"/>
  <c r="MI99" i="1" l="1"/>
  <c r="MH100" i="1"/>
  <c r="MH116" i="1" s="1"/>
  <c r="MJ99" i="1" l="1"/>
  <c r="MI100" i="1"/>
  <c r="MI116" i="1" s="1"/>
  <c r="MK99" i="1" l="1"/>
  <c r="MJ100" i="1"/>
  <c r="MJ116" i="1" s="1"/>
  <c r="ML99" i="1" l="1"/>
  <c r="AE50" i="1" s="1"/>
  <c r="MK100" i="1"/>
  <c r="MK116" i="1" s="1"/>
  <c r="MM99" i="1" l="1"/>
  <c r="ML100" i="1"/>
  <c r="ML116" i="1" l="1"/>
  <c r="AE51" i="1"/>
  <c r="MN99" i="1"/>
  <c r="MM100" i="1"/>
  <c r="MM116" i="1" s="1"/>
  <c r="AE68" i="1" l="1"/>
  <c r="AE86" i="1" s="1"/>
  <c r="AD40" i="1" s="1"/>
  <c r="AD41" i="1" s="1"/>
  <c r="MO99" i="1"/>
  <c r="MN100" i="1"/>
  <c r="MN116" i="1" s="1"/>
  <c r="MP99" i="1" l="1"/>
  <c r="MO100" i="1"/>
  <c r="MO116" i="1" s="1"/>
  <c r="MQ99" i="1" l="1"/>
  <c r="MP100" i="1"/>
  <c r="MP116" i="1" s="1"/>
  <c r="MR99" i="1" l="1"/>
  <c r="MQ100" i="1"/>
  <c r="MQ116" i="1" s="1"/>
  <c r="MS99" i="1" l="1"/>
  <c r="MR100" i="1"/>
  <c r="MR116" i="1" s="1"/>
  <c r="MT99" i="1" l="1"/>
  <c r="MS100" i="1"/>
  <c r="MS116" i="1" s="1"/>
  <c r="MU99" i="1" l="1"/>
  <c r="MT100" i="1"/>
  <c r="MT116" i="1" s="1"/>
  <c r="MV99" i="1" l="1"/>
  <c r="MU100" i="1"/>
  <c r="MU116" i="1" s="1"/>
  <c r="MW99" i="1" l="1"/>
  <c r="MV100" i="1"/>
  <c r="MV116" i="1" s="1"/>
  <c r="MX99" i="1" l="1"/>
  <c r="AF50" i="1" s="1"/>
  <c r="MW100" i="1"/>
  <c r="MW116" i="1" s="1"/>
  <c r="MY99" i="1" l="1"/>
  <c r="MX100" i="1"/>
  <c r="MX116" i="1" l="1"/>
  <c r="AF51" i="1"/>
  <c r="MZ99" i="1"/>
  <c r="MY100" i="1"/>
  <c r="MY116" i="1" s="1"/>
  <c r="AF68" i="1" l="1"/>
  <c r="AF86" i="1" s="1"/>
  <c r="AE40" i="1" s="1"/>
  <c r="AE41" i="1" s="1"/>
  <c r="C19" i="1" s="1"/>
  <c r="NA99" i="1"/>
  <c r="MZ100" i="1"/>
  <c r="MZ116" i="1" s="1"/>
  <c r="NB99" i="1" l="1"/>
  <c r="NA100" i="1"/>
  <c r="NA116" i="1" s="1"/>
  <c r="NC99" i="1" l="1"/>
  <c r="NB100" i="1"/>
  <c r="NB116" i="1" s="1"/>
  <c r="ND99" i="1" l="1"/>
  <c r="NC100" i="1"/>
  <c r="NC116" i="1" s="1"/>
  <c r="NE99" i="1" l="1"/>
  <c r="ND100" i="1"/>
  <c r="ND116" i="1" s="1"/>
  <c r="NF99" i="1" l="1"/>
  <c r="NE100" i="1"/>
  <c r="NE116" i="1" s="1"/>
  <c r="NG99" i="1" l="1"/>
  <c r="NF100" i="1"/>
  <c r="NF116" i="1" s="1"/>
  <c r="NH99" i="1" l="1"/>
  <c r="NG100" i="1"/>
  <c r="NG116" i="1" s="1"/>
  <c r="NI99" i="1" l="1"/>
  <c r="NH100" i="1"/>
  <c r="NH116" i="1" s="1"/>
  <c r="NJ99" i="1" l="1"/>
  <c r="AG50" i="1" s="1"/>
  <c r="NI100" i="1"/>
  <c r="NI116" i="1" s="1"/>
  <c r="NK99" i="1" l="1"/>
  <c r="NJ100" i="1"/>
  <c r="NJ116" i="1" l="1"/>
  <c r="AG51" i="1"/>
  <c r="NL99" i="1"/>
  <c r="NK100" i="1"/>
  <c r="NK116" i="1" s="1"/>
  <c r="AG68" i="1" l="1"/>
  <c r="AG86" i="1" s="1"/>
  <c r="NM99" i="1"/>
  <c r="NL100" i="1"/>
  <c r="NL116" i="1" s="1"/>
  <c r="NN99" i="1" l="1"/>
  <c r="NM100" i="1"/>
  <c r="NM116" i="1" s="1"/>
  <c r="NO99" i="1" l="1"/>
  <c r="NN100" i="1"/>
  <c r="NN116" i="1" s="1"/>
  <c r="NP99" i="1" l="1"/>
  <c r="NO100" i="1"/>
  <c r="NO116" i="1" s="1"/>
  <c r="NQ99" i="1" l="1"/>
  <c r="NP100" i="1"/>
  <c r="NP116" i="1" s="1"/>
  <c r="NR99" i="1" l="1"/>
  <c r="NQ100" i="1"/>
  <c r="NQ116" i="1" s="1"/>
  <c r="NR100" i="1" l="1"/>
  <c r="NR116" i="1" s="1"/>
  <c r="NS99" i="1"/>
  <c r="NT99" i="1" l="1"/>
  <c r="NS100" i="1"/>
  <c r="NS116" i="1" s="1"/>
  <c r="NU99" i="1" l="1"/>
  <c r="NT100" i="1"/>
  <c r="NT116" i="1" s="1"/>
  <c r="NV99" i="1" l="1"/>
  <c r="AH50" i="1" s="1"/>
  <c r="NU100" i="1"/>
  <c r="NU116" i="1" s="1"/>
  <c r="NW99" i="1" l="1"/>
  <c r="NV100" i="1"/>
  <c r="NV116" i="1" l="1"/>
  <c r="AH51" i="1"/>
  <c r="NX99" i="1"/>
  <c r="NW100" i="1"/>
  <c r="NW116" i="1" s="1"/>
  <c r="AH68" i="1" l="1"/>
  <c r="AH86" i="1" s="1"/>
  <c r="NY99" i="1"/>
  <c r="NX100" i="1"/>
  <c r="NX116" i="1" s="1"/>
  <c r="NZ99" i="1" l="1"/>
  <c r="NY100" i="1"/>
  <c r="NY116" i="1" s="1"/>
  <c r="OA99" i="1" l="1"/>
  <c r="NZ100" i="1"/>
  <c r="NZ116" i="1" s="1"/>
  <c r="OB99" i="1" l="1"/>
  <c r="OA100" i="1"/>
  <c r="OA116" i="1" s="1"/>
  <c r="OC99" i="1" l="1"/>
  <c r="OB100" i="1"/>
  <c r="OB116" i="1" s="1"/>
  <c r="OD99" i="1" l="1"/>
  <c r="OC100" i="1"/>
  <c r="OC116" i="1" s="1"/>
  <c r="OE99" i="1" l="1"/>
  <c r="OD100" i="1"/>
  <c r="OD116" i="1" s="1"/>
  <c r="OF99" i="1" l="1"/>
  <c r="OE100" i="1"/>
  <c r="OE116" i="1" s="1"/>
  <c r="OG99" i="1" l="1"/>
  <c r="OF100" i="1"/>
  <c r="OF116" i="1" s="1"/>
  <c r="OH99" i="1" l="1"/>
  <c r="AI50" i="1" s="1"/>
  <c r="OG100" i="1"/>
  <c r="OG116" i="1" s="1"/>
  <c r="OI99" i="1" l="1"/>
  <c r="OH100" i="1"/>
  <c r="OH116" i="1" l="1"/>
  <c r="AI51" i="1"/>
  <c r="OJ99" i="1"/>
  <c r="OI100" i="1"/>
  <c r="OI116" i="1" s="1"/>
  <c r="AI68" i="1" l="1"/>
  <c r="AI86" i="1" s="1"/>
  <c r="OK99" i="1"/>
  <c r="OJ100" i="1"/>
  <c r="OJ116" i="1" s="1"/>
  <c r="OL99" i="1" l="1"/>
  <c r="OK100" i="1"/>
  <c r="OK116" i="1" s="1"/>
  <c r="OM99" i="1" l="1"/>
  <c r="OL100" i="1"/>
  <c r="OL116" i="1" s="1"/>
  <c r="ON99" i="1" l="1"/>
  <c r="OM100" i="1"/>
  <c r="OM116" i="1" s="1"/>
  <c r="OO99" i="1" l="1"/>
  <c r="ON100" i="1"/>
  <c r="ON116" i="1" s="1"/>
  <c r="OP99" i="1" l="1"/>
  <c r="OO100" i="1"/>
  <c r="OO116" i="1" s="1"/>
  <c r="OQ99" i="1" l="1"/>
  <c r="OP100" i="1"/>
  <c r="OP116" i="1" s="1"/>
  <c r="OR99" i="1" l="1"/>
  <c r="OQ100" i="1"/>
  <c r="OQ116" i="1" s="1"/>
  <c r="OS99" i="1" l="1"/>
  <c r="OR100" i="1"/>
  <c r="OR116" i="1" s="1"/>
  <c r="OT99" i="1" l="1"/>
  <c r="AJ50" i="1" s="1"/>
  <c r="OS100" i="1"/>
  <c r="OS116" i="1" s="1"/>
  <c r="OU99" i="1" l="1"/>
  <c r="OT100" i="1"/>
  <c r="OT116" i="1" l="1"/>
  <c r="AJ51" i="1"/>
  <c r="OV99" i="1"/>
  <c r="OU100" i="1"/>
  <c r="OU116" i="1" s="1"/>
  <c r="AJ68" i="1" l="1"/>
  <c r="AJ86" i="1" s="1"/>
  <c r="OW99" i="1"/>
  <c r="OV100" i="1"/>
  <c r="OV116" i="1" s="1"/>
  <c r="OX99" i="1" l="1"/>
  <c r="OW100" i="1"/>
  <c r="OW116" i="1" s="1"/>
  <c r="OY99" i="1" l="1"/>
  <c r="OX100" i="1"/>
  <c r="OX116" i="1" s="1"/>
  <c r="OZ99" i="1" l="1"/>
  <c r="OY100" i="1"/>
  <c r="OY116" i="1" s="1"/>
  <c r="PA99" i="1" l="1"/>
  <c r="OZ100" i="1"/>
  <c r="OZ116" i="1" s="1"/>
  <c r="PB99" i="1" l="1"/>
  <c r="PA100" i="1"/>
  <c r="PA116" i="1" s="1"/>
  <c r="PC99" i="1" l="1"/>
  <c r="PB100" i="1"/>
  <c r="PB116" i="1" s="1"/>
  <c r="PD99" i="1" l="1"/>
  <c r="PC100" i="1"/>
  <c r="PC116" i="1" s="1"/>
  <c r="PE99" i="1" l="1"/>
  <c r="PD100" i="1"/>
  <c r="PD116" i="1" s="1"/>
  <c r="PF99" i="1" l="1"/>
  <c r="PE100" i="1"/>
  <c r="PE116" i="1" s="1"/>
  <c r="PF100" i="1" l="1"/>
  <c r="AK50" i="1"/>
  <c r="PF116" i="1" l="1"/>
  <c r="AK51" i="1"/>
  <c r="AK68" i="1" l="1"/>
  <c r="AK86" i="1" s="1"/>
</calcChain>
</file>

<file path=xl/sharedStrings.xml><?xml version="1.0" encoding="utf-8"?>
<sst xmlns="http://schemas.openxmlformats.org/spreadsheetml/2006/main" count="92" uniqueCount="67">
  <si>
    <t xml:space="preserve">Buying is better if you stay for </t>
  </si>
  <si>
    <t>years or longer</t>
  </si>
  <si>
    <t>Buying Inputs</t>
  </si>
  <si>
    <t>Income Inputs</t>
  </si>
  <si>
    <t>Property Price (lump sum)</t>
  </si>
  <si>
    <t>Net Monthly Take Home Salary</t>
  </si>
  <si>
    <t>Downpayment</t>
  </si>
  <si>
    <t>Basic Salary</t>
  </si>
  <si>
    <t>Loan Amount</t>
  </si>
  <si>
    <t>HRA</t>
  </si>
  <si>
    <t xml:space="preserve">Loan Interest Rate </t>
  </si>
  <si>
    <t>Applicable Income Tax Rate</t>
  </si>
  <si>
    <t>Loan Tenure (years)</t>
  </si>
  <si>
    <t>Expected Annual Salary Hike</t>
  </si>
  <si>
    <t>EMI payable every month</t>
  </si>
  <si>
    <t>Annual Property Appreciation</t>
  </si>
  <si>
    <t>Other Inputs</t>
  </si>
  <si>
    <t>Monthly Property Maintenance Costs</t>
  </si>
  <si>
    <t>Inflation</t>
  </si>
  <si>
    <t>Annual Property Tax</t>
  </si>
  <si>
    <t>Current rate on your Fixed Deposit/ Bank Deposit</t>
  </si>
  <si>
    <t>Registration &amp; Stamp Duty (%)</t>
  </si>
  <si>
    <t>Renting Inputs</t>
  </si>
  <si>
    <t>Brokerage (% of Property Price)</t>
  </si>
  <si>
    <t>Monthly Rent</t>
  </si>
  <si>
    <t>Annual Rent Appreciation</t>
  </si>
  <si>
    <t>Rent vs Buy Calculator</t>
  </si>
  <si>
    <t>Rental Security Deposit</t>
  </si>
  <si>
    <t>By AssetYogi.com</t>
  </si>
  <si>
    <t>Years from today</t>
  </si>
  <si>
    <t>Annual Savings (Rs. Lakhs)</t>
  </si>
  <si>
    <t>ANNUAL CALCULATIONS</t>
  </si>
  <si>
    <t>Year</t>
  </si>
  <si>
    <t>Buying Scenario</t>
  </si>
  <si>
    <t>Property Price</t>
  </si>
  <si>
    <t>Loan (Principal Balance)</t>
  </si>
  <si>
    <t>Equity in Home</t>
  </si>
  <si>
    <t>Loan Repayment</t>
  </si>
  <si>
    <t>Interest Payment on Loan</t>
  </si>
  <si>
    <t>Principal Repayment</t>
  </si>
  <si>
    <t>Tax Saved on Principal Repayment</t>
  </si>
  <si>
    <t>Tax Saved on Interest Payment</t>
  </si>
  <si>
    <t>Property Maintenance Costs</t>
  </si>
  <si>
    <t>Property Tax</t>
  </si>
  <si>
    <t>Net Cashflow</t>
  </si>
  <si>
    <t>Cumulative Cashflow</t>
  </si>
  <si>
    <t>Registration Cost &amp; Stamp Duty</t>
  </si>
  <si>
    <t>Brokerage</t>
  </si>
  <si>
    <t>Cumulative Savings in Buying Scenario (assuming house is sold in Nth Year)</t>
  </si>
  <si>
    <t>Renting Scenario</t>
  </si>
  <si>
    <t xml:space="preserve">Rent </t>
  </si>
  <si>
    <t>Interest lost on Rental Deposit</t>
  </si>
  <si>
    <t>Net take Home Salary</t>
  </si>
  <si>
    <t>Tax Rebate on HRA</t>
  </si>
  <si>
    <t>Returns on Downpayment (if house is not bought) - eg. FD interest</t>
  </si>
  <si>
    <t xml:space="preserve">Net Monthly Cash Flow </t>
  </si>
  <si>
    <t>Cumulative Cash Flow</t>
  </si>
  <si>
    <t>Cumulative Savings in case of Renting</t>
  </si>
  <si>
    <t>Annual Savings</t>
  </si>
  <si>
    <t>MONTHLY CALCULATIONS</t>
  </si>
  <si>
    <t>Analysis Period (Years)</t>
  </si>
  <si>
    <t>Month</t>
  </si>
  <si>
    <t>Tax Saving Limit under section 80C</t>
  </si>
  <si>
    <t>Tax Saving Limit on Home Loan Interest (in case of self-occupied)</t>
  </si>
  <si>
    <t>Net Monthly Cashflow</t>
  </si>
  <si>
    <t>Cumulative Savings in Buying Scenario (assuming house is sold in Nth month)</t>
  </si>
  <si>
    <t>Rental Deposit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</si>
</sst>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rgb="FFFF660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165" fontId="4" fillId="4" borderId="0" xfId="1" applyNumberFormat="1" applyFont="1" applyFill="1" applyProtection="1">
      <protection hidden="1"/>
    </xf>
    <xf numFmtId="165" fontId="0" fillId="0" borderId="0" xfId="1" applyNumberFormat="1" applyFont="1" applyProtection="1">
      <protection hidden="1"/>
    </xf>
    <xf numFmtId="0" fontId="0" fillId="0" borderId="0" xfId="0" applyAlignment="1" applyProtection="1">
      <alignment wrapText="1"/>
      <protection hidden="1"/>
    </xf>
    <xf numFmtId="165" fontId="0" fillId="2" borderId="0" xfId="1" applyNumberFormat="1" applyFont="1" applyFill="1" applyProtection="1">
      <protection locked="0"/>
    </xf>
    <xf numFmtId="165" fontId="0" fillId="0" borderId="0" xfId="1" applyNumberFormat="1" applyFont="1" applyProtection="1"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wrapText="1"/>
      <protection locked="0"/>
    </xf>
    <xf numFmtId="0" fontId="2" fillId="0" borderId="1" xfId="0" applyFont="1" applyBorder="1" applyAlignment="1" applyProtection="1">
      <alignment wrapText="1"/>
      <protection locked="0"/>
    </xf>
    <xf numFmtId="165" fontId="2" fillId="0" borderId="1" xfId="1" applyNumberFormat="1" applyFont="1" applyBorder="1" applyProtection="1">
      <protection locked="0"/>
    </xf>
    <xf numFmtId="165" fontId="2" fillId="0" borderId="0" xfId="1" applyNumberFormat="1" applyFont="1" applyProtection="1">
      <protection locked="0"/>
    </xf>
    <xf numFmtId="0" fontId="2" fillId="0" borderId="0" xfId="0" applyFont="1" applyProtection="1">
      <protection locked="0"/>
    </xf>
    <xf numFmtId="164" fontId="0" fillId="0" borderId="1" xfId="1" applyFont="1" applyBorder="1" applyProtection="1">
      <protection locked="0"/>
    </xf>
    <xf numFmtId="0" fontId="2" fillId="0" borderId="0" xfId="0" applyFont="1" applyAlignment="1" applyProtection="1">
      <alignment wrapText="1"/>
      <protection locked="0"/>
    </xf>
    <xf numFmtId="165" fontId="0" fillId="0" borderId="0" xfId="1" applyNumberFormat="1" applyFont="1" applyBorder="1" applyProtection="1">
      <protection locked="0"/>
    </xf>
    <xf numFmtId="164" fontId="0" fillId="0" borderId="0" xfId="1" applyFont="1" applyBorder="1" applyProtection="1">
      <protection locked="0"/>
    </xf>
    <xf numFmtId="0" fontId="3" fillId="3" borderId="0" xfId="0" applyFont="1" applyFill="1" applyAlignment="1" applyProtection="1">
      <alignment wrapText="1"/>
      <protection locked="0"/>
    </xf>
    <xf numFmtId="1" fontId="2" fillId="0" borderId="0" xfId="1" applyNumberFormat="1" applyFont="1" applyProtection="1">
      <protection locked="0"/>
    </xf>
    <xf numFmtId="165" fontId="5" fillId="0" borderId="0" xfId="1" applyNumberFormat="1" applyFont="1" applyProtection="1">
      <protection locked="0"/>
    </xf>
    <xf numFmtId="165" fontId="6" fillId="0" borderId="0" xfId="1" applyNumberFormat="1" applyFont="1" applyProtection="1">
      <protection locked="0"/>
    </xf>
    <xf numFmtId="165" fontId="2" fillId="0" borderId="0" xfId="0" applyNumberFormat="1" applyFont="1" applyAlignment="1" applyProtection="1">
      <alignment wrapText="1"/>
      <protection locked="0"/>
    </xf>
    <xf numFmtId="165" fontId="0" fillId="0" borderId="0" xfId="0" applyNumberFormat="1" applyProtection="1">
      <protection locked="0"/>
    </xf>
    <xf numFmtId="9" fontId="0" fillId="0" borderId="0" xfId="2" applyFont="1" applyProtection="1">
      <protection locked="0"/>
    </xf>
    <xf numFmtId="165" fontId="1" fillId="0" borderId="0" xfId="1" applyNumberFormat="1" applyFont="1" applyProtection="1">
      <protection locked="0"/>
    </xf>
    <xf numFmtId="0" fontId="0" fillId="6" borderId="0" xfId="0" applyFill="1" applyAlignment="1" applyProtection="1">
      <alignment vertical="center" wrapText="1"/>
      <protection hidden="1"/>
    </xf>
    <xf numFmtId="165" fontId="0" fillId="2" borderId="0" xfId="1" applyNumberFormat="1" applyFont="1" applyFill="1" applyAlignment="1" applyProtection="1">
      <alignment vertical="center"/>
      <protection locked="0"/>
    </xf>
    <xf numFmtId="165" fontId="0" fillId="0" borderId="0" xfId="1" applyNumberFormat="1" applyFont="1" applyAlignment="1" applyProtection="1">
      <alignment vertical="center"/>
      <protection hidden="1"/>
    </xf>
    <xf numFmtId="9" fontId="0" fillId="2" borderId="0" xfId="2" applyFont="1" applyFill="1" applyAlignment="1" applyProtection="1">
      <alignment vertical="center"/>
      <protection locked="0"/>
    </xf>
    <xf numFmtId="165" fontId="0" fillId="0" borderId="0" xfId="1" applyNumberFormat="1" applyFont="1" applyFill="1" applyAlignment="1" applyProtection="1">
      <alignment vertical="center"/>
      <protection hidden="1"/>
    </xf>
    <xf numFmtId="0" fontId="0" fillId="0" borderId="0" xfId="0" applyAlignment="1" applyProtection="1">
      <alignment vertical="center" wrapText="1"/>
      <protection hidden="1"/>
    </xf>
    <xf numFmtId="9" fontId="0" fillId="0" borderId="0" xfId="2" applyFont="1" applyFill="1" applyAlignment="1" applyProtection="1">
      <alignment vertical="center"/>
      <protection hidden="1"/>
    </xf>
    <xf numFmtId="165" fontId="9" fillId="4" borderId="0" xfId="1" applyNumberFormat="1" applyFont="1" applyFill="1" applyProtection="1">
      <protection hidden="1"/>
    </xf>
    <xf numFmtId="165" fontId="9" fillId="4" borderId="0" xfId="1" applyNumberFormat="1" applyFont="1" applyFill="1" applyAlignment="1" applyProtection="1">
      <protection hidden="1"/>
    </xf>
    <xf numFmtId="165" fontId="2" fillId="0" borderId="0" xfId="1" applyNumberFormat="1" applyFont="1" applyBorder="1" applyAlignment="1" applyProtection="1">
      <alignment horizontal="right" vertical="center"/>
      <protection hidden="1"/>
    </xf>
    <xf numFmtId="165" fontId="8" fillId="0" borderId="0" xfId="1" applyNumberFormat="1" applyFont="1" applyBorder="1" applyAlignment="1" applyProtection="1">
      <alignment horizontal="right" vertical="center"/>
      <protection hidden="1"/>
    </xf>
    <xf numFmtId="0" fontId="9" fillId="4" borderId="0" xfId="0" applyFont="1" applyFill="1" applyAlignment="1" applyProtection="1">
      <alignment horizontal="right" wrapText="1"/>
      <protection hidden="1"/>
    </xf>
    <xf numFmtId="0" fontId="7" fillId="5" borderId="0" xfId="0" applyFont="1" applyFill="1" applyAlignment="1" applyProtection="1">
      <alignment horizontal="left" wrapText="1"/>
      <protection hidden="1"/>
    </xf>
    <xf numFmtId="0" fontId="7" fillId="5" borderId="0" xfId="0" applyFont="1" applyFill="1" applyAlignment="1" applyProtection="1">
      <alignment horizontal="left" vertical="center" wrapText="1"/>
      <protection hidden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6600"/>
      <color rgb="FFA88000"/>
      <color rgb="FFD60093"/>
      <color rgb="FF009900"/>
      <color rgb="FFFFFF99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120" normalizeH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BUyING VS RENTING</a:t>
            </a:r>
            <a:r>
              <a:rPr lang="en-US" baseline="0">
                <a:solidFill>
                  <a:srgbClr val="FF0000"/>
                </a:solidFill>
              </a:rPr>
              <a:t> - aNNUAL SAVINGS</a:t>
            </a:r>
            <a:endParaRPr lang="en-US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120" normalizeH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9674326423482786E-2"/>
          <c:y val="0.1060215254158319"/>
          <c:w val="0.92977020729551663"/>
          <c:h val="0.785250586280265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'Rent-vs-Buy'!$A$40</c:f>
              <c:strCache>
                <c:ptCount val="1"/>
                <c:pt idx="0">
                  <c:v>Annual Savings (Rs. Lakhs)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'Rent-vs-Buy'!$B$39:$AE$39</c:f>
              <c:numCache>
                <c:formatCode>_(* #,##0_);_(* \(#,##0\);_(* "-"??_);_(@_)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'Rent-vs-Buy'!$B$40:$AE$40</c:f>
              <c:numCache>
                <c:formatCode>_(* #,##0.00_);_(* \(#,##0.00\);_(* "-"??_);_(@_)</c:formatCode>
                <c:ptCount val="30"/>
                <c:pt idx="0">
                  <c:v>-5.8468161686713085</c:v>
                </c:pt>
                <c:pt idx="1">
                  <c:v>-2.3447427403781842</c:v>
                </c:pt>
                <c:pt idx="2">
                  <c:v>-0.92663177824978793</c:v>
                </c:pt>
                <c:pt idx="3">
                  <c:v>-4.1447077448629424E-2</c:v>
                </c:pt>
                <c:pt idx="4">
                  <c:v>0.63095193813823536</c:v>
                </c:pt>
                <c:pt idx="5">
                  <c:v>1.2065150359020289</c:v>
                </c:pt>
                <c:pt idx="6">
                  <c:v>1.7356342170456223</c:v>
                </c:pt>
                <c:pt idx="7">
                  <c:v>2.2441728011448068</c:v>
                </c:pt>
                <c:pt idx="8">
                  <c:v>2.7471465509867761</c:v>
                </c:pt>
                <c:pt idx="9">
                  <c:v>3.2542008480615587</c:v>
                </c:pt>
                <c:pt idx="10">
                  <c:v>3.7721050551592556</c:v>
                </c:pt>
                <c:pt idx="11">
                  <c:v>4.3060044883815003</c:v>
                </c:pt>
                <c:pt idx="12">
                  <c:v>4.8600994363642958</c:v>
                </c:pt>
                <c:pt idx="13">
                  <c:v>5.4380381746478497</c:v>
                </c:pt>
                <c:pt idx="14">
                  <c:v>6.043157931972166</c:v>
                </c:pt>
                <c:pt idx="15">
                  <c:v>6.6786408366448677</c:v>
                </c:pt>
                <c:pt idx="16">
                  <c:v>7.3476203805405556</c:v>
                </c:pt>
                <c:pt idx="17">
                  <c:v>8.0532581985103846</c:v>
                </c:pt>
                <c:pt idx="18">
                  <c:v>8.7743303737916243</c:v>
                </c:pt>
                <c:pt idx="19">
                  <c:v>9.492687642383169</c:v>
                </c:pt>
                <c:pt idx="20">
                  <c:v>10.141691064885686</c:v>
                </c:pt>
                <c:pt idx="21">
                  <c:v>10.803449923691854</c:v>
                </c:pt>
                <c:pt idx="22">
                  <c:v>11.480848295120765</c:v>
                </c:pt>
                <c:pt idx="23">
                  <c:v>12.176565746607187</c:v>
                </c:pt>
                <c:pt idx="24">
                  <c:v>12.893133831163057</c:v>
                </c:pt>
                <c:pt idx="25">
                  <c:v>13.632980305638002</c:v>
                </c:pt>
                <c:pt idx="26">
                  <c:v>14.398464279732421</c:v>
                </c:pt>
                <c:pt idx="27">
                  <c:v>15.191904585613816</c:v>
                </c:pt>
                <c:pt idx="28">
                  <c:v>16.015603025228476</c:v>
                </c:pt>
                <c:pt idx="29">
                  <c:v>16.871863709164845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D4-4D01-8935-CB75393EF6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81331968"/>
        <c:axId val="281332360"/>
      </c:barChart>
      <c:catAx>
        <c:axId val="281331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 from Today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332360"/>
        <c:crosses val="autoZero"/>
        <c:auto val="1"/>
        <c:lblAlgn val="ctr"/>
        <c:lblOffset val="100"/>
        <c:noMultiLvlLbl val="0"/>
      </c:catAx>
      <c:valAx>
        <c:axId val="28133236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 Savings (Rs. Lakhs)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crossAx val="281331968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104775</xdr:rowOff>
    </xdr:from>
    <xdr:to>
      <xdr:col>4</xdr:col>
      <xdr:colOff>552449</xdr:colOff>
      <xdr:row>17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V261"/>
  <sheetViews>
    <sheetView showGridLines="0" tabSelected="1" topLeftCell="A10" zoomScaleNormal="100" workbookViewId="0">
      <selection activeCell="E26" sqref="E26"/>
    </sheetView>
  </sheetViews>
  <sheetFormatPr defaultRowHeight="15"/>
  <cols>
    <col min="1" max="1" width="28.42578125" style="7" customWidth="1"/>
    <col min="2" max="2" width="11.85546875" style="5" customWidth="1"/>
    <col min="3" max="3" width="6.5703125" style="5" customWidth="1"/>
    <col min="4" max="4" width="28.42578125" style="5" customWidth="1"/>
    <col min="5" max="5" width="10.28515625" style="5" customWidth="1"/>
    <col min="6" max="11" width="13.42578125" style="5" bestFit="1" customWidth="1"/>
    <col min="12" max="32" width="15" style="5" bestFit="1" customWidth="1"/>
    <col min="33" max="37" width="15" style="6" bestFit="1" customWidth="1"/>
    <col min="38" max="126" width="12.5703125" style="6" bestFit="1" customWidth="1"/>
    <col min="127" max="348" width="13.42578125" style="6" bestFit="1" customWidth="1"/>
    <col min="349" max="422" width="14.28515625" style="6" bestFit="1" customWidth="1"/>
    <col min="423" max="16384" width="9.140625" style="6"/>
  </cols>
  <sheetData>
    <row r="1" spans="1:6">
      <c r="A1" s="3"/>
      <c r="B1" s="2"/>
      <c r="C1" s="2"/>
      <c r="D1" s="2"/>
      <c r="E1" s="2"/>
      <c r="F1" s="2"/>
    </row>
    <row r="2" spans="1:6">
      <c r="A2" s="3"/>
      <c r="B2" s="2"/>
      <c r="C2" s="2"/>
      <c r="D2" s="2"/>
      <c r="E2" s="2"/>
      <c r="F2" s="2"/>
    </row>
    <row r="3" spans="1:6">
      <c r="A3" s="3"/>
      <c r="B3" s="2"/>
      <c r="C3" s="2"/>
      <c r="D3" s="2"/>
      <c r="E3" s="2"/>
      <c r="F3" s="2"/>
    </row>
    <row r="4" spans="1:6">
      <c r="A4" s="3"/>
      <c r="B4" s="2"/>
      <c r="C4" s="2"/>
      <c r="D4" s="2"/>
      <c r="E4" s="2"/>
      <c r="F4" s="2"/>
    </row>
    <row r="5" spans="1:6">
      <c r="A5" s="3"/>
      <c r="B5" s="2"/>
      <c r="C5" s="2"/>
      <c r="D5" s="2"/>
      <c r="E5" s="2"/>
      <c r="F5" s="2"/>
    </row>
    <row r="6" spans="1:6">
      <c r="A6" s="3"/>
      <c r="B6" s="2"/>
      <c r="C6" s="2"/>
      <c r="D6" s="2"/>
      <c r="E6" s="2"/>
      <c r="F6" s="2"/>
    </row>
    <row r="7" spans="1:6">
      <c r="A7" s="3"/>
      <c r="B7" s="2"/>
      <c r="C7" s="2"/>
      <c r="D7" s="2"/>
      <c r="E7" s="2"/>
      <c r="F7" s="2"/>
    </row>
    <row r="8" spans="1:6">
      <c r="A8" s="3"/>
      <c r="B8" s="2"/>
      <c r="C8" s="2"/>
      <c r="D8" s="2"/>
      <c r="E8" s="2"/>
      <c r="F8" s="2"/>
    </row>
    <row r="9" spans="1:6">
      <c r="A9" s="3"/>
      <c r="B9" s="2"/>
      <c r="C9" s="2"/>
      <c r="D9" s="2"/>
      <c r="E9" s="2"/>
      <c r="F9" s="2"/>
    </row>
    <row r="10" spans="1:6">
      <c r="A10" s="3"/>
      <c r="B10" s="2"/>
      <c r="C10" s="2"/>
      <c r="D10" s="2"/>
      <c r="E10" s="2"/>
      <c r="F10" s="2"/>
    </row>
    <row r="11" spans="1:6">
      <c r="A11" s="3"/>
      <c r="B11" s="2"/>
      <c r="C11" s="2"/>
      <c r="D11" s="2"/>
      <c r="E11" s="2"/>
      <c r="F11" s="2"/>
    </row>
    <row r="12" spans="1:6">
      <c r="A12" s="3"/>
      <c r="B12" s="2"/>
      <c r="C12" s="2"/>
      <c r="D12" s="2"/>
      <c r="E12" s="2"/>
      <c r="F12" s="2"/>
    </row>
    <row r="13" spans="1:6">
      <c r="A13" s="3"/>
      <c r="B13" s="2"/>
      <c r="C13" s="2"/>
      <c r="D13" s="2"/>
      <c r="E13" s="2"/>
      <c r="F13" s="2"/>
    </row>
    <row r="14" spans="1:6">
      <c r="A14" s="3"/>
      <c r="B14" s="2"/>
      <c r="C14" s="2"/>
      <c r="D14" s="2"/>
      <c r="E14" s="2"/>
      <c r="F14" s="2"/>
    </row>
    <row r="15" spans="1:6">
      <c r="A15" s="3"/>
      <c r="B15" s="2"/>
      <c r="C15" s="2"/>
      <c r="D15" s="2"/>
      <c r="E15" s="2"/>
      <c r="F15" s="2"/>
    </row>
    <row r="16" spans="1:6">
      <c r="A16" s="3"/>
      <c r="B16" s="2"/>
      <c r="C16" s="2"/>
      <c r="D16" s="2"/>
      <c r="E16" s="2"/>
      <c r="F16" s="2"/>
    </row>
    <row r="17" spans="1:6">
      <c r="A17" s="3"/>
      <c r="B17" s="2"/>
      <c r="C17" s="2"/>
      <c r="D17" s="2"/>
      <c r="E17" s="2"/>
      <c r="F17" s="2"/>
    </row>
    <row r="18" spans="1:6">
      <c r="A18" s="3"/>
      <c r="B18" s="2"/>
      <c r="C18" s="2"/>
      <c r="D18" s="2"/>
      <c r="E18" s="2"/>
      <c r="F18" s="2"/>
    </row>
    <row r="19" spans="1:6" ht="23.25" customHeight="1">
      <c r="A19" s="35" t="s">
        <v>0</v>
      </c>
      <c r="B19" s="35"/>
      <c r="C19" s="32">
        <f>SUM(B41:AE41)+1</f>
        <v>5</v>
      </c>
      <c r="D19" s="31" t="s">
        <v>1</v>
      </c>
      <c r="E19" s="1"/>
      <c r="F19" s="2"/>
    </row>
    <row r="20" spans="1:6">
      <c r="A20" s="3"/>
      <c r="B20" s="2"/>
      <c r="C20" s="2"/>
      <c r="D20" s="2"/>
      <c r="E20" s="2"/>
      <c r="F20" s="2"/>
    </row>
    <row r="21" spans="1:6" ht="18.75">
      <c r="A21" s="36" t="s">
        <v>2</v>
      </c>
      <c r="B21" s="36"/>
      <c r="C21" s="2"/>
      <c r="D21" s="36" t="s">
        <v>3</v>
      </c>
      <c r="E21" s="36"/>
      <c r="F21" s="2"/>
    </row>
    <row r="22" spans="1:6">
      <c r="A22" s="24" t="s">
        <v>4</v>
      </c>
      <c r="B22" s="25">
        <v>10000000</v>
      </c>
      <c r="C22" s="26"/>
      <c r="D22" s="24" t="s">
        <v>5</v>
      </c>
      <c r="E22" s="25">
        <v>100000</v>
      </c>
      <c r="F22" s="2"/>
    </row>
    <row r="23" spans="1:6">
      <c r="A23" s="24" t="s">
        <v>6</v>
      </c>
      <c r="B23" s="25">
        <v>2000000</v>
      </c>
      <c r="C23" s="26"/>
      <c r="D23" s="24" t="s">
        <v>7</v>
      </c>
      <c r="E23" s="25">
        <v>50000</v>
      </c>
      <c r="F23" s="2"/>
    </row>
    <row r="24" spans="1:6">
      <c r="A24" s="24" t="s">
        <v>8</v>
      </c>
      <c r="B24" s="26">
        <f>B22-B23</f>
        <v>8000000</v>
      </c>
      <c r="C24" s="26"/>
      <c r="D24" s="24" t="s">
        <v>9</v>
      </c>
      <c r="E24" s="25">
        <v>18000</v>
      </c>
      <c r="F24" s="2"/>
    </row>
    <row r="25" spans="1:6">
      <c r="A25" s="24" t="s">
        <v>10</v>
      </c>
      <c r="B25" s="27">
        <v>0.11</v>
      </c>
      <c r="C25" s="26"/>
      <c r="D25" s="24" t="s">
        <v>11</v>
      </c>
      <c r="E25" s="27">
        <v>0.3</v>
      </c>
      <c r="F25" s="2"/>
    </row>
    <row r="26" spans="1:6">
      <c r="A26" s="24" t="s">
        <v>12</v>
      </c>
      <c r="B26" s="25">
        <v>20</v>
      </c>
      <c r="C26" s="26"/>
      <c r="D26" s="24" t="s">
        <v>13</v>
      </c>
      <c r="E26" s="27">
        <v>0.1</v>
      </c>
      <c r="F26" s="2"/>
    </row>
    <row r="27" spans="1:6">
      <c r="A27" s="24" t="s">
        <v>14</v>
      </c>
      <c r="B27" s="28">
        <f>PMT($B$25/12, $B$26*12, -$B$24, 0)</f>
        <v>82575.071390084544</v>
      </c>
      <c r="C27" s="26"/>
      <c r="D27" s="29"/>
      <c r="E27" s="30"/>
      <c r="F27" s="2"/>
    </row>
    <row r="28" spans="1:6" ht="18.75">
      <c r="A28" s="24" t="s">
        <v>15</v>
      </c>
      <c r="B28" s="27">
        <v>7.0000000000000007E-2</v>
      </c>
      <c r="C28" s="26"/>
      <c r="D28" s="37" t="s">
        <v>16</v>
      </c>
      <c r="E28" s="37"/>
      <c r="F28" s="2"/>
    </row>
    <row r="29" spans="1:6" ht="30">
      <c r="A29" s="24" t="s">
        <v>17</v>
      </c>
      <c r="B29" s="25">
        <v>6000</v>
      </c>
      <c r="C29" s="26"/>
      <c r="D29" s="24" t="s">
        <v>18</v>
      </c>
      <c r="E29" s="27">
        <v>7.0000000000000007E-2</v>
      </c>
      <c r="F29" s="2"/>
    </row>
    <row r="30" spans="1:6" ht="30">
      <c r="A30" s="24" t="s">
        <v>19</v>
      </c>
      <c r="B30" s="25">
        <v>6000</v>
      </c>
      <c r="C30" s="26"/>
      <c r="D30" s="24" t="s">
        <v>20</v>
      </c>
      <c r="E30" s="27">
        <v>0.09</v>
      </c>
      <c r="F30" s="2"/>
    </row>
    <row r="31" spans="1:6">
      <c r="A31" s="29"/>
      <c r="B31" s="26"/>
      <c r="C31" s="26"/>
      <c r="D31" s="24" t="s">
        <v>21</v>
      </c>
      <c r="E31" s="27">
        <v>0.06</v>
      </c>
      <c r="F31" s="2"/>
    </row>
    <row r="32" spans="1:6" ht="30">
      <c r="A32" s="37" t="s">
        <v>22</v>
      </c>
      <c r="B32" s="37"/>
      <c r="C32" s="26"/>
      <c r="D32" s="24" t="s">
        <v>23</v>
      </c>
      <c r="E32" s="27">
        <v>0.01</v>
      </c>
      <c r="F32" s="2"/>
    </row>
    <row r="33" spans="1:37">
      <c r="A33" s="24" t="s">
        <v>24</v>
      </c>
      <c r="B33" s="25">
        <v>20000</v>
      </c>
      <c r="C33" s="26"/>
      <c r="D33" s="26"/>
      <c r="E33" s="26"/>
      <c r="F33" s="2"/>
    </row>
    <row r="34" spans="1:37">
      <c r="A34" s="24" t="s">
        <v>25</v>
      </c>
      <c r="B34" s="27">
        <v>0.08</v>
      </c>
      <c r="C34" s="26"/>
      <c r="D34" s="33" t="s">
        <v>26</v>
      </c>
      <c r="E34" s="33"/>
      <c r="F34" s="2"/>
    </row>
    <row r="35" spans="1:37" ht="15.75">
      <c r="A35" s="24" t="s">
        <v>27</v>
      </c>
      <c r="B35" s="25">
        <v>60000</v>
      </c>
      <c r="C35" s="26"/>
      <c r="D35" s="34" t="s">
        <v>28</v>
      </c>
      <c r="E35" s="34"/>
      <c r="F35" s="2"/>
    </row>
    <row r="36" spans="1:37">
      <c r="A36" s="29"/>
      <c r="B36" s="26"/>
      <c r="C36" s="26"/>
      <c r="E36" s="26"/>
      <c r="F36" s="2"/>
    </row>
    <row r="37" spans="1:37" hidden="1">
      <c r="A37" s="29"/>
      <c r="B37" s="26"/>
      <c r="C37" s="26"/>
      <c r="D37" s="26"/>
      <c r="E37" s="26"/>
      <c r="F37" s="2"/>
    </row>
    <row r="38" spans="1:37" hidden="1"/>
    <row r="39" spans="1:37" s="11" customFormat="1" hidden="1">
      <c r="A39" s="8" t="s">
        <v>29</v>
      </c>
      <c r="B39" s="9">
        <v>1</v>
      </c>
      <c r="C39" s="9">
        <f>B39+1</f>
        <v>2</v>
      </c>
      <c r="D39" s="9">
        <f>C39+1</f>
        <v>3</v>
      </c>
      <c r="E39" s="9">
        <f t="shared" ref="E39:AE39" si="0">D39+1</f>
        <v>4</v>
      </c>
      <c r="F39" s="9">
        <f>E39+1</f>
        <v>5</v>
      </c>
      <c r="G39" s="9">
        <f t="shared" si="0"/>
        <v>6</v>
      </c>
      <c r="H39" s="9">
        <f t="shared" si="0"/>
        <v>7</v>
      </c>
      <c r="I39" s="9">
        <f t="shared" si="0"/>
        <v>8</v>
      </c>
      <c r="J39" s="9">
        <f t="shared" si="0"/>
        <v>9</v>
      </c>
      <c r="K39" s="9">
        <f t="shared" si="0"/>
        <v>10</v>
      </c>
      <c r="L39" s="9">
        <f t="shared" si="0"/>
        <v>11</v>
      </c>
      <c r="M39" s="9">
        <f t="shared" si="0"/>
        <v>12</v>
      </c>
      <c r="N39" s="9">
        <f t="shared" si="0"/>
        <v>13</v>
      </c>
      <c r="O39" s="9">
        <f t="shared" si="0"/>
        <v>14</v>
      </c>
      <c r="P39" s="9">
        <f t="shared" si="0"/>
        <v>15</v>
      </c>
      <c r="Q39" s="9">
        <f t="shared" si="0"/>
        <v>16</v>
      </c>
      <c r="R39" s="9">
        <f t="shared" si="0"/>
        <v>17</v>
      </c>
      <c r="S39" s="9">
        <f t="shared" si="0"/>
        <v>18</v>
      </c>
      <c r="T39" s="9">
        <f t="shared" si="0"/>
        <v>19</v>
      </c>
      <c r="U39" s="9">
        <f t="shared" si="0"/>
        <v>20</v>
      </c>
      <c r="V39" s="9">
        <f t="shared" si="0"/>
        <v>21</v>
      </c>
      <c r="W39" s="9">
        <f t="shared" si="0"/>
        <v>22</v>
      </c>
      <c r="X39" s="9">
        <f t="shared" si="0"/>
        <v>23</v>
      </c>
      <c r="Y39" s="9">
        <f t="shared" si="0"/>
        <v>24</v>
      </c>
      <c r="Z39" s="9">
        <f t="shared" si="0"/>
        <v>25</v>
      </c>
      <c r="AA39" s="9">
        <f t="shared" si="0"/>
        <v>26</v>
      </c>
      <c r="AB39" s="9">
        <f t="shared" si="0"/>
        <v>27</v>
      </c>
      <c r="AC39" s="9">
        <f t="shared" si="0"/>
        <v>28</v>
      </c>
      <c r="AD39" s="9">
        <f t="shared" si="0"/>
        <v>29</v>
      </c>
      <c r="AE39" s="9">
        <f t="shared" si="0"/>
        <v>30</v>
      </c>
      <c r="AF39" s="10"/>
      <c r="AG39" s="10"/>
      <c r="AH39" s="10"/>
      <c r="AI39" s="10"/>
      <c r="AJ39" s="10"/>
    </row>
    <row r="40" spans="1:37" hidden="1">
      <c r="A40" s="8" t="s">
        <v>30</v>
      </c>
      <c r="B40" s="12">
        <f>C86/100000</f>
        <v>-5.8468161686713085</v>
      </c>
      <c r="C40" s="12">
        <f>D86/100000</f>
        <v>-2.3447427403781842</v>
      </c>
      <c r="D40" s="12">
        <f t="shared" ref="D40:AE40" si="1">E86/100000</f>
        <v>-0.92663177824978793</v>
      </c>
      <c r="E40" s="12">
        <f>F86/100000</f>
        <v>-4.1447077448629424E-2</v>
      </c>
      <c r="F40" s="12">
        <f t="shared" si="1"/>
        <v>0.63095193813823536</v>
      </c>
      <c r="G40" s="12">
        <f t="shared" si="1"/>
        <v>1.2065150359020289</v>
      </c>
      <c r="H40" s="12">
        <f t="shared" si="1"/>
        <v>1.7356342170456223</v>
      </c>
      <c r="I40" s="12">
        <f t="shared" si="1"/>
        <v>2.2441728011448068</v>
      </c>
      <c r="J40" s="12">
        <f t="shared" si="1"/>
        <v>2.7471465509867761</v>
      </c>
      <c r="K40" s="12">
        <f t="shared" si="1"/>
        <v>3.2542008480615587</v>
      </c>
      <c r="L40" s="12">
        <f t="shared" si="1"/>
        <v>3.7721050551592556</v>
      </c>
      <c r="M40" s="12">
        <f t="shared" si="1"/>
        <v>4.3060044883815003</v>
      </c>
      <c r="N40" s="12">
        <f t="shared" si="1"/>
        <v>4.8600994363642958</v>
      </c>
      <c r="O40" s="12">
        <f t="shared" si="1"/>
        <v>5.4380381746478497</v>
      </c>
      <c r="P40" s="12">
        <f t="shared" si="1"/>
        <v>6.043157931972166</v>
      </c>
      <c r="Q40" s="12">
        <f t="shared" si="1"/>
        <v>6.6786408366448677</v>
      </c>
      <c r="R40" s="12">
        <f t="shared" si="1"/>
        <v>7.3476203805405556</v>
      </c>
      <c r="S40" s="12">
        <f t="shared" si="1"/>
        <v>8.0532581985103846</v>
      </c>
      <c r="T40" s="12">
        <f t="shared" si="1"/>
        <v>8.7743303737916243</v>
      </c>
      <c r="U40" s="12">
        <f t="shared" si="1"/>
        <v>9.492687642383169</v>
      </c>
      <c r="V40" s="12">
        <f t="shared" si="1"/>
        <v>10.141691064885686</v>
      </c>
      <c r="W40" s="12">
        <f t="shared" si="1"/>
        <v>10.803449923691854</v>
      </c>
      <c r="X40" s="12">
        <f t="shared" si="1"/>
        <v>11.480848295120765</v>
      </c>
      <c r="Y40" s="12">
        <f t="shared" si="1"/>
        <v>12.176565746607187</v>
      </c>
      <c r="Z40" s="12">
        <f t="shared" si="1"/>
        <v>12.893133831163057</v>
      </c>
      <c r="AA40" s="12">
        <f t="shared" si="1"/>
        <v>13.632980305638002</v>
      </c>
      <c r="AB40" s="12">
        <f t="shared" si="1"/>
        <v>14.398464279732421</v>
      </c>
      <c r="AC40" s="12">
        <f t="shared" si="1"/>
        <v>15.191904585613816</v>
      </c>
      <c r="AD40" s="12">
        <f t="shared" si="1"/>
        <v>16.015603025228476</v>
      </c>
      <c r="AE40" s="12">
        <f t="shared" si="1"/>
        <v>16.871863709164845</v>
      </c>
      <c r="AF40" s="6"/>
    </row>
    <row r="41" spans="1:37" hidden="1">
      <c r="A41" s="13"/>
      <c r="B41" s="14">
        <f>IF(B40&lt;=0, 1, 0)</f>
        <v>1</v>
      </c>
      <c r="C41" s="14">
        <f t="shared" ref="C41:AE41" si="2">IF(C40&lt;=0, 1, 0)</f>
        <v>1</v>
      </c>
      <c r="D41" s="14">
        <f t="shared" si="2"/>
        <v>1</v>
      </c>
      <c r="E41" s="14">
        <f t="shared" si="2"/>
        <v>1</v>
      </c>
      <c r="F41" s="14">
        <f t="shared" si="2"/>
        <v>0</v>
      </c>
      <c r="G41" s="14">
        <f t="shared" si="2"/>
        <v>0</v>
      </c>
      <c r="H41" s="14">
        <f t="shared" si="2"/>
        <v>0</v>
      </c>
      <c r="I41" s="14">
        <f t="shared" si="2"/>
        <v>0</v>
      </c>
      <c r="J41" s="14">
        <f t="shared" si="2"/>
        <v>0</v>
      </c>
      <c r="K41" s="14">
        <f t="shared" si="2"/>
        <v>0</v>
      </c>
      <c r="L41" s="14">
        <f t="shared" si="2"/>
        <v>0</v>
      </c>
      <c r="M41" s="14">
        <f t="shared" si="2"/>
        <v>0</v>
      </c>
      <c r="N41" s="14">
        <f t="shared" si="2"/>
        <v>0</v>
      </c>
      <c r="O41" s="14">
        <f t="shared" si="2"/>
        <v>0</v>
      </c>
      <c r="P41" s="14">
        <f t="shared" si="2"/>
        <v>0</v>
      </c>
      <c r="Q41" s="14">
        <f t="shared" si="2"/>
        <v>0</v>
      </c>
      <c r="R41" s="14">
        <f t="shared" si="2"/>
        <v>0</v>
      </c>
      <c r="S41" s="14">
        <f t="shared" si="2"/>
        <v>0</v>
      </c>
      <c r="T41" s="14">
        <f t="shared" si="2"/>
        <v>0</v>
      </c>
      <c r="U41" s="14">
        <f t="shared" si="2"/>
        <v>0</v>
      </c>
      <c r="V41" s="14">
        <f t="shared" si="2"/>
        <v>0</v>
      </c>
      <c r="W41" s="14">
        <f t="shared" si="2"/>
        <v>0</v>
      </c>
      <c r="X41" s="14">
        <f t="shared" si="2"/>
        <v>0</v>
      </c>
      <c r="Y41" s="14">
        <f t="shared" si="2"/>
        <v>0</v>
      </c>
      <c r="Z41" s="14">
        <f t="shared" si="2"/>
        <v>0</v>
      </c>
      <c r="AA41" s="14">
        <f t="shared" si="2"/>
        <v>0</v>
      </c>
      <c r="AB41" s="14">
        <f t="shared" si="2"/>
        <v>0</v>
      </c>
      <c r="AC41" s="14">
        <f t="shared" si="2"/>
        <v>0</v>
      </c>
      <c r="AD41" s="14">
        <f t="shared" si="2"/>
        <v>0</v>
      </c>
      <c r="AE41" s="14">
        <f t="shared" si="2"/>
        <v>0</v>
      </c>
      <c r="AF41" s="6"/>
    </row>
    <row r="42" spans="1:37" hidden="1">
      <c r="A42" s="13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6"/>
    </row>
    <row r="43" spans="1:37" hidden="1"/>
    <row r="44" spans="1:37" hidden="1"/>
    <row r="45" spans="1:37" hidden="1">
      <c r="A45" s="16" t="s">
        <v>31</v>
      </c>
    </row>
    <row r="46" spans="1:37" s="11" customFormat="1" hidden="1">
      <c r="A46" s="13" t="s">
        <v>32</v>
      </c>
      <c r="B46" s="17">
        <v>0</v>
      </c>
      <c r="C46" s="10">
        <f>B46+1</f>
        <v>1</v>
      </c>
      <c r="D46" s="10">
        <f>C46+1</f>
        <v>2</v>
      </c>
      <c r="E46" s="10">
        <f t="shared" ref="E46:AK46" si="3">D46+1</f>
        <v>3</v>
      </c>
      <c r="F46" s="10">
        <f>E46+1</f>
        <v>4</v>
      </c>
      <c r="G46" s="10">
        <f t="shared" si="3"/>
        <v>5</v>
      </c>
      <c r="H46" s="10">
        <f t="shared" si="3"/>
        <v>6</v>
      </c>
      <c r="I46" s="10">
        <f t="shared" si="3"/>
        <v>7</v>
      </c>
      <c r="J46" s="10">
        <f t="shared" si="3"/>
        <v>8</v>
      </c>
      <c r="K46" s="10">
        <f t="shared" si="3"/>
        <v>9</v>
      </c>
      <c r="L46" s="10">
        <f t="shared" si="3"/>
        <v>10</v>
      </c>
      <c r="M46" s="10">
        <f t="shared" si="3"/>
        <v>11</v>
      </c>
      <c r="N46" s="10">
        <f t="shared" si="3"/>
        <v>12</v>
      </c>
      <c r="O46" s="10">
        <f t="shared" si="3"/>
        <v>13</v>
      </c>
      <c r="P46" s="10">
        <f t="shared" si="3"/>
        <v>14</v>
      </c>
      <c r="Q46" s="10">
        <f t="shared" si="3"/>
        <v>15</v>
      </c>
      <c r="R46" s="10">
        <f t="shared" si="3"/>
        <v>16</v>
      </c>
      <c r="S46" s="10">
        <f t="shared" si="3"/>
        <v>17</v>
      </c>
      <c r="T46" s="10">
        <f t="shared" si="3"/>
        <v>18</v>
      </c>
      <c r="U46" s="10">
        <f t="shared" si="3"/>
        <v>19</v>
      </c>
      <c r="V46" s="10">
        <f t="shared" si="3"/>
        <v>20</v>
      </c>
      <c r="W46" s="10">
        <f t="shared" si="3"/>
        <v>21</v>
      </c>
      <c r="X46" s="10">
        <f t="shared" si="3"/>
        <v>22</v>
      </c>
      <c r="Y46" s="10">
        <f t="shared" si="3"/>
        <v>23</v>
      </c>
      <c r="Z46" s="10">
        <f t="shared" si="3"/>
        <v>24</v>
      </c>
      <c r="AA46" s="10">
        <f t="shared" si="3"/>
        <v>25</v>
      </c>
      <c r="AB46" s="10">
        <f t="shared" si="3"/>
        <v>26</v>
      </c>
      <c r="AC46" s="10">
        <f t="shared" si="3"/>
        <v>27</v>
      </c>
      <c r="AD46" s="10">
        <f t="shared" si="3"/>
        <v>28</v>
      </c>
      <c r="AE46" s="10">
        <f t="shared" si="3"/>
        <v>29</v>
      </c>
      <c r="AF46" s="10">
        <f t="shared" si="3"/>
        <v>30</v>
      </c>
      <c r="AG46" s="10">
        <f t="shared" si="3"/>
        <v>31</v>
      </c>
      <c r="AH46" s="10">
        <f t="shared" si="3"/>
        <v>32</v>
      </c>
      <c r="AI46" s="10">
        <f t="shared" si="3"/>
        <v>33</v>
      </c>
      <c r="AJ46" s="10">
        <f t="shared" si="3"/>
        <v>34</v>
      </c>
      <c r="AK46" s="10">
        <f t="shared" si="3"/>
        <v>35</v>
      </c>
    </row>
    <row r="47" spans="1:37" hidden="1"/>
    <row r="48" spans="1:37" s="11" customFormat="1" hidden="1">
      <c r="A48" s="13" t="s">
        <v>33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</row>
    <row r="49" spans="1:55" hidden="1">
      <c r="A49" s="6" t="s">
        <v>34</v>
      </c>
      <c r="B49" s="5">
        <f>B22</f>
        <v>10000000</v>
      </c>
      <c r="C49" s="18">
        <f>N98</f>
        <v>10722900.808562363</v>
      </c>
      <c r="D49" s="5">
        <f>Z98</f>
        <v>11498060.175026735</v>
      </c>
      <c r="E49" s="5">
        <f>AL98</f>
        <v>12329255.874769285</v>
      </c>
      <c r="F49" s="5">
        <f>AX98</f>
        <v>13220538.778853577</v>
      </c>
      <c r="G49" s="5">
        <f>BJ98</f>
        <v>14176252.596139904</v>
      </c>
      <c r="H49" s="5">
        <f>BV98</f>
        <v>15201055.042553285</v>
      </c>
      <c r="I49" s="5">
        <f>CH98</f>
        <v>16299940.540679555</v>
      </c>
      <c r="J49" s="5">
        <f>CT98</f>
        <v>17478264.560317121</v>
      </c>
      <c r="K49" s="5">
        <f>DF98</f>
        <v>18741769.718609136</v>
      </c>
      <c r="L49" s="5">
        <f>DR98</f>
        <v>20096613.766956348</v>
      </c>
      <c r="M49" s="5">
        <f>ED98</f>
        <v>21549399.601106171</v>
      </c>
      <c r="N49" s="5">
        <f>EP98</f>
        <v>23107207.440673474</v>
      </c>
      <c r="O49" s="5">
        <f>FB98</f>
        <v>24777629.33492158</v>
      </c>
      <c r="P49" s="5">
        <f>FN98</f>
        <v>26568806.162968908</v>
      </c>
      <c r="Q49" s="5">
        <f>FZ98</f>
        <v>28489467.308743585</v>
      </c>
      <c r="R49" s="5">
        <f>GL98</f>
        <v>30548973.204043746</v>
      </c>
      <c r="S49" s="5">
        <f>GX98</f>
        <v>32757360.947039057</v>
      </c>
      <c r="T49" s="5">
        <f>HJ98</f>
        <v>35125393.218537427</v>
      </c>
      <c r="U49" s="5">
        <f>HV98</f>
        <v>37664610.734412581</v>
      </c>
      <c r="V49" s="5">
        <f>IH98</f>
        <v>40387388.489821926</v>
      </c>
      <c r="W49" s="5">
        <f>IT98</f>
        <v>43306996.069323361</v>
      </c>
      <c r="X49" s="5">
        <f>JF98</f>
        <v>46437662.316815436</v>
      </c>
      <c r="Y49" s="5">
        <f>JR98</f>
        <v>49794644.680472597</v>
      </c>
      <c r="Z49" s="5">
        <f>KD98</f>
        <v>53394303.570631497</v>
      </c>
      <c r="AA49" s="5">
        <f>KP98</f>
        <v>57254182.093014866</v>
      </c>
      <c r="AB49" s="5">
        <f>LB98</f>
        <v>61393091.545876563</v>
      </c>
      <c r="AC49" s="5">
        <f>LN98</f>
        <v>65831203.097742297</v>
      </c>
      <c r="AD49" s="5">
        <f>LZ98</f>
        <v>70590146.092541367</v>
      </c>
      <c r="AE49" s="5">
        <f>ML98</f>
        <v>75693113.461224705</v>
      </c>
      <c r="AF49" s="5">
        <f>MX98</f>
        <v>81164974.753596872</v>
      </c>
      <c r="AG49" s="5">
        <f>NJ98</f>
        <v>0</v>
      </c>
      <c r="AH49" s="5">
        <f>NV98</f>
        <v>0</v>
      </c>
      <c r="AI49" s="5">
        <f>OH98</f>
        <v>0</v>
      </c>
      <c r="AJ49" s="5">
        <f>OT98</f>
        <v>0</v>
      </c>
      <c r="AK49" s="5">
        <f>PF98</f>
        <v>0</v>
      </c>
    </row>
    <row r="50" spans="1:55" hidden="1">
      <c r="A50" s="6" t="s">
        <v>35</v>
      </c>
      <c r="B50" s="5">
        <f>B24</f>
        <v>8000000</v>
      </c>
      <c r="C50" s="18">
        <f t="shared" ref="C50:C51" si="4">N99</f>
        <v>7883333.4721074617</v>
      </c>
      <c r="D50" s="5">
        <f t="shared" ref="D50:D51" si="5">Z99</f>
        <v>7753166.4293842642</v>
      </c>
      <c r="E50" s="5">
        <f t="shared" ref="E50:E51" si="6">AL99</f>
        <v>7607936.6079661651</v>
      </c>
      <c r="F50" s="5">
        <f t="shared" ref="F50:F51" si="7">AX99</f>
        <v>7445900.9606327247</v>
      </c>
      <c r="G50" s="5">
        <f t="shared" ref="G50:G51" si="8">BJ99</f>
        <v>7265114.7367677195</v>
      </c>
      <c r="H50" s="5">
        <f t="shared" ref="H50:H51" si="9">BV99</f>
        <v>7063408.1414769292</v>
      </c>
      <c r="I50" s="5">
        <f t="shared" ref="I50:I51" si="10">CH99</f>
        <v>6838360.2937261872</v>
      </c>
      <c r="J50" s="5">
        <f t="shared" ref="J50:J51" si="11">CT99</f>
        <v>6587270.1709454954</v>
      </c>
      <c r="K50" s="5">
        <f t="shared" ref="K50:K51" si="12">DF99</f>
        <v>6307124.1913765073</v>
      </c>
      <c r="L50" s="5">
        <f t="shared" ref="L50:L51" si="13">DR99</f>
        <v>5994560.0450870264</v>
      </c>
      <c r="M50" s="5">
        <f t="shared" ref="M50:M51" si="14">ED99</f>
        <v>5645826.3395525776</v>
      </c>
      <c r="N50" s="5">
        <f t="shared" ref="N50:N51" si="15">EP99</f>
        <v>5256737.5754716378</v>
      </c>
      <c r="O50" s="5">
        <f t="shared" ref="O50:O51" si="16">FB99</f>
        <v>4822623.9124346189</v>
      </c>
      <c r="P50" s="5">
        <f t="shared" ref="P50:P51" si="17">FN99</f>
        <v>4338275.1215345152</v>
      </c>
      <c r="Q50" s="5">
        <f t="shared" ref="Q50:Q51" si="18">FZ99</f>
        <v>3797878.0522388909</v>
      </c>
      <c r="R50" s="5">
        <f t="shared" ref="R50:R51" si="19">GL99</f>
        <v>3194946.8630010742</v>
      </c>
      <c r="S50" s="5">
        <f t="shared" ref="S50:S51" si="20">GX99</f>
        <v>2522245.1782388613</v>
      </c>
      <c r="T50" s="5">
        <f t="shared" ref="T50:T51" si="21">HJ99</f>
        <v>1771699.2374094047</v>
      </c>
      <c r="U50" s="5">
        <f t="shared" ref="U50:U51" si="22">HV99</f>
        <v>934300.99379612226</v>
      </c>
      <c r="V50" s="5">
        <f t="shared" ref="V50:V51" si="23">IH99</f>
        <v>-4.71482053399086E-9</v>
      </c>
      <c r="W50" s="5">
        <f t="shared" ref="W50:W51" si="24">IT99</f>
        <v>-4.71482053399086E-9</v>
      </c>
      <c r="X50" s="5">
        <f t="shared" ref="X50:X51" si="25">JF99</f>
        <v>-4.71482053399086E-9</v>
      </c>
      <c r="Y50" s="5">
        <f t="shared" ref="Y50:Y51" si="26">JR99</f>
        <v>-4.71482053399086E-9</v>
      </c>
      <c r="Z50" s="5">
        <f t="shared" ref="Z50:Z51" si="27">KD99</f>
        <v>-4.71482053399086E-9</v>
      </c>
      <c r="AA50" s="5">
        <f t="shared" ref="AA50:AA51" si="28">KP99</f>
        <v>-4.71482053399086E-9</v>
      </c>
      <c r="AB50" s="5">
        <f t="shared" ref="AB50:AB51" si="29">LB99</f>
        <v>-4.71482053399086E-9</v>
      </c>
      <c r="AC50" s="5">
        <f t="shared" ref="AC50:AC51" si="30">LN99</f>
        <v>-4.71482053399086E-9</v>
      </c>
      <c r="AD50" s="5">
        <f t="shared" ref="AD50:AD51" si="31">LZ99</f>
        <v>-4.71482053399086E-9</v>
      </c>
      <c r="AE50" s="5">
        <f t="shared" ref="AE50:AE51" si="32">ML99</f>
        <v>-4.71482053399086E-9</v>
      </c>
      <c r="AF50" s="5">
        <f t="shared" ref="AF50:AF51" si="33">MX99</f>
        <v>-4.71482053399086E-9</v>
      </c>
      <c r="AG50" s="5">
        <f t="shared" ref="AG50:AG51" si="34">NJ99</f>
        <v>-4.71482053399086E-9</v>
      </c>
      <c r="AH50" s="5">
        <f t="shared" ref="AH50:AH51" si="35">NV99</f>
        <v>-4.71482053399086E-9</v>
      </c>
      <c r="AI50" s="5">
        <f t="shared" ref="AI50:AI51" si="36">OH99</f>
        <v>-4.71482053399086E-9</v>
      </c>
      <c r="AJ50" s="5">
        <f t="shared" ref="AJ50:AJ51" si="37">OT99</f>
        <v>-4.71482053399086E-9</v>
      </c>
      <c r="AK50" s="5">
        <f t="shared" ref="AK50:AK51" si="38">PF99</f>
        <v>-4.71482053399086E-9</v>
      </c>
    </row>
    <row r="51" spans="1:55" hidden="1">
      <c r="A51" s="6" t="s">
        <v>36</v>
      </c>
      <c r="B51" s="5">
        <f>B49-B50</f>
        <v>2000000</v>
      </c>
      <c r="C51" s="18">
        <f t="shared" si="4"/>
        <v>2839567.3364549009</v>
      </c>
      <c r="D51" s="5">
        <f t="shared" si="5"/>
        <v>3744893.7456424711</v>
      </c>
      <c r="E51" s="5">
        <f t="shared" si="6"/>
        <v>4721319.2668031203</v>
      </c>
      <c r="F51" s="5">
        <f t="shared" si="7"/>
        <v>5774637.8182208519</v>
      </c>
      <c r="G51" s="5">
        <f t="shared" si="8"/>
        <v>6911137.8593721846</v>
      </c>
      <c r="H51" s="5">
        <f t="shared" si="9"/>
        <v>8137646.9010763559</v>
      </c>
      <c r="I51" s="5">
        <f t="shared" si="10"/>
        <v>9461580.2469533682</v>
      </c>
      <c r="J51" s="5">
        <f t="shared" si="11"/>
        <v>10890994.389371626</v>
      </c>
      <c r="K51" s="5">
        <f t="shared" si="12"/>
        <v>12434645.527232628</v>
      </c>
      <c r="L51" s="5">
        <f t="shared" si="13"/>
        <v>14102053.721869322</v>
      </c>
      <c r="M51" s="5">
        <f t="shared" si="14"/>
        <v>15903573.261553593</v>
      </c>
      <c r="N51" s="5">
        <f t="shared" si="15"/>
        <v>17850469.865201838</v>
      </c>
      <c r="O51" s="5">
        <f t="shared" si="16"/>
        <v>19955005.422486961</v>
      </c>
      <c r="P51" s="5">
        <f t="shared" si="17"/>
        <v>22230531.041434392</v>
      </c>
      <c r="Q51" s="5">
        <f t="shared" si="18"/>
        <v>24691589.256504692</v>
      </c>
      <c r="R51" s="5">
        <f t="shared" si="19"/>
        <v>27354026.341042671</v>
      </c>
      <c r="S51" s="5">
        <f t="shared" si="20"/>
        <v>30235115.768800195</v>
      </c>
      <c r="T51" s="5">
        <f t="shared" si="21"/>
        <v>33353693.981128022</v>
      </c>
      <c r="U51" s="5">
        <f t="shared" si="22"/>
        <v>36730309.740616456</v>
      </c>
      <c r="V51" s="5">
        <f t="shared" si="23"/>
        <v>40387388.489821933</v>
      </c>
      <c r="W51" s="5">
        <f t="shared" si="24"/>
        <v>43306996.069323368</v>
      </c>
      <c r="X51" s="5">
        <f t="shared" si="25"/>
        <v>46437662.316815443</v>
      </c>
      <c r="Y51" s="5">
        <f t="shared" si="26"/>
        <v>49794644.680472605</v>
      </c>
      <c r="Z51" s="5">
        <f t="shared" si="27"/>
        <v>53394303.570631504</v>
      </c>
      <c r="AA51" s="5">
        <f t="shared" si="28"/>
        <v>57254182.093014874</v>
      </c>
      <c r="AB51" s="5">
        <f t="shared" si="29"/>
        <v>61393091.54587657</v>
      </c>
      <c r="AC51" s="5">
        <f t="shared" si="30"/>
        <v>65831203.097742304</v>
      </c>
      <c r="AD51" s="5">
        <f t="shared" si="31"/>
        <v>70590146.092541367</v>
      </c>
      <c r="AE51" s="5">
        <f t="shared" si="32"/>
        <v>75693113.461224705</v>
      </c>
      <c r="AF51" s="5">
        <f t="shared" si="33"/>
        <v>81164974.753596872</v>
      </c>
      <c r="AG51" s="5">
        <f t="shared" si="34"/>
        <v>4.71482053399086E-9</v>
      </c>
      <c r="AH51" s="5">
        <f t="shared" si="35"/>
        <v>4.71482053399086E-9</v>
      </c>
      <c r="AI51" s="5">
        <f t="shared" si="36"/>
        <v>4.71482053399086E-9</v>
      </c>
      <c r="AJ51" s="5">
        <f t="shared" si="37"/>
        <v>4.71482053399086E-9</v>
      </c>
      <c r="AK51" s="5">
        <f t="shared" si="38"/>
        <v>4.71482053399086E-9</v>
      </c>
    </row>
    <row r="52" spans="1:55" hidden="1">
      <c r="A52" s="6"/>
      <c r="C52" s="18"/>
    </row>
    <row r="53" spans="1:55" hidden="1">
      <c r="A53" s="6" t="s">
        <v>37</v>
      </c>
      <c r="C53" s="18">
        <f t="shared" ref="C53:AK53" si="39">SUMIF($C$95:$PF$95, LOOKUP(C46,  $C$95:$PF$95), $C$102:$PF$102)</f>
        <v>990900.85668101476</v>
      </c>
      <c r="D53" s="5">
        <f t="shared" si="39"/>
        <v>990900.85668101476</v>
      </c>
      <c r="E53" s="5">
        <f t="shared" si="39"/>
        <v>990900.85668101476</v>
      </c>
      <c r="F53" s="5">
        <f t="shared" si="39"/>
        <v>990900.85668101476</v>
      </c>
      <c r="G53" s="5">
        <f t="shared" si="39"/>
        <v>990900.85668101476</v>
      </c>
      <c r="H53" s="5">
        <f t="shared" si="39"/>
        <v>990900.85668101476</v>
      </c>
      <c r="I53" s="5">
        <f t="shared" si="39"/>
        <v>990900.85668101476</v>
      </c>
      <c r="J53" s="5">
        <f t="shared" si="39"/>
        <v>990900.85668101476</v>
      </c>
      <c r="K53" s="5">
        <f t="shared" si="39"/>
        <v>990900.85668101476</v>
      </c>
      <c r="L53" s="5">
        <f t="shared" si="39"/>
        <v>990900.85668101476</v>
      </c>
      <c r="M53" s="5">
        <f t="shared" si="39"/>
        <v>990900.85668101476</v>
      </c>
      <c r="N53" s="5">
        <f t="shared" si="39"/>
        <v>990900.85668101476</v>
      </c>
      <c r="O53" s="5">
        <f t="shared" si="39"/>
        <v>990900.85668101476</v>
      </c>
      <c r="P53" s="5">
        <f t="shared" si="39"/>
        <v>990900.85668101476</v>
      </c>
      <c r="Q53" s="5">
        <f t="shared" si="39"/>
        <v>990900.85668101476</v>
      </c>
      <c r="R53" s="5">
        <f t="shared" si="39"/>
        <v>990900.85668101476</v>
      </c>
      <c r="S53" s="5">
        <f t="shared" si="39"/>
        <v>990900.85668101476</v>
      </c>
      <c r="T53" s="5">
        <f t="shared" si="39"/>
        <v>990900.85668101476</v>
      </c>
      <c r="U53" s="5">
        <f t="shared" si="39"/>
        <v>990900.85668101476</v>
      </c>
      <c r="V53" s="5">
        <f t="shared" si="39"/>
        <v>990900.85668101476</v>
      </c>
      <c r="W53" s="5">
        <f t="shared" si="39"/>
        <v>0</v>
      </c>
      <c r="X53" s="5">
        <f t="shared" si="39"/>
        <v>0</v>
      </c>
      <c r="Y53" s="5">
        <f t="shared" si="39"/>
        <v>0</v>
      </c>
      <c r="Z53" s="5">
        <f t="shared" si="39"/>
        <v>0</v>
      </c>
      <c r="AA53" s="5">
        <f t="shared" si="39"/>
        <v>0</v>
      </c>
      <c r="AB53" s="5">
        <f t="shared" si="39"/>
        <v>0</v>
      </c>
      <c r="AC53" s="5">
        <f t="shared" si="39"/>
        <v>0</v>
      </c>
      <c r="AD53" s="5">
        <f t="shared" si="39"/>
        <v>0</v>
      </c>
      <c r="AE53" s="5">
        <f t="shared" si="39"/>
        <v>0</v>
      </c>
      <c r="AF53" s="5">
        <f t="shared" si="39"/>
        <v>0</v>
      </c>
      <c r="AG53" s="5">
        <f t="shared" si="39"/>
        <v>0</v>
      </c>
      <c r="AH53" s="5">
        <f t="shared" si="39"/>
        <v>0</v>
      </c>
      <c r="AI53" s="5">
        <f t="shared" si="39"/>
        <v>0</v>
      </c>
      <c r="AJ53" s="5">
        <f t="shared" si="39"/>
        <v>0</v>
      </c>
      <c r="AK53" s="5">
        <f t="shared" si="39"/>
        <v>0</v>
      </c>
    </row>
    <row r="54" spans="1:55" hidden="1">
      <c r="A54" s="6" t="s">
        <v>38</v>
      </c>
      <c r="C54" s="18">
        <f t="shared" ref="C54:AK54" si="40">SUMIF($C$95:$PF$95, LOOKUP(C46,  $C$95:$PF$95), $C$103:$PF$103)</f>
        <v>874234.32878847676</v>
      </c>
      <c r="D54" s="5">
        <f t="shared" si="40"/>
        <v>860733.81395781576</v>
      </c>
      <c r="E54" s="5">
        <f t="shared" si="40"/>
        <v>845671.03526291472</v>
      </c>
      <c r="F54" s="5">
        <f t="shared" si="40"/>
        <v>828865.20934757346</v>
      </c>
      <c r="G54" s="5">
        <f t="shared" si="40"/>
        <v>810114.63281600981</v>
      </c>
      <c r="H54" s="5">
        <f t="shared" si="40"/>
        <v>789194.26139022398</v>
      </c>
      <c r="I54" s="5">
        <f t="shared" si="40"/>
        <v>765853.00893027475</v>
      </c>
      <c r="J54" s="5">
        <f t="shared" si="40"/>
        <v>739810.73390032153</v>
      </c>
      <c r="K54" s="5">
        <f t="shared" si="40"/>
        <v>710754.87711202656</v>
      </c>
      <c r="L54" s="5">
        <f t="shared" si="40"/>
        <v>678336.71039153531</v>
      </c>
      <c r="M54" s="5">
        <f t="shared" si="40"/>
        <v>642167.15114656591</v>
      </c>
      <c r="N54" s="5">
        <f t="shared" si="40"/>
        <v>601812.0926000753</v>
      </c>
      <c r="O54" s="5">
        <f t="shared" si="40"/>
        <v>556787.1936439951</v>
      </c>
      <c r="P54" s="5">
        <f t="shared" si="40"/>
        <v>506552.06578090996</v>
      </c>
      <c r="Q54" s="5">
        <f t="shared" si="40"/>
        <v>450503.78738539119</v>
      </c>
      <c r="R54" s="5">
        <f t="shared" si="40"/>
        <v>387969.66744319751</v>
      </c>
      <c r="S54" s="5">
        <f t="shared" si="40"/>
        <v>318199.17191880138</v>
      </c>
      <c r="T54" s="5">
        <f t="shared" si="40"/>
        <v>240354.91585155868</v>
      </c>
      <c r="U54" s="5">
        <f t="shared" si="40"/>
        <v>153502.61306773243</v>
      </c>
      <c r="V54" s="5">
        <f t="shared" si="40"/>
        <v>56599.862884887574</v>
      </c>
      <c r="W54" s="5">
        <f t="shared" si="40"/>
        <v>0</v>
      </c>
      <c r="X54" s="5">
        <f t="shared" si="40"/>
        <v>0</v>
      </c>
      <c r="Y54" s="5">
        <f t="shared" si="40"/>
        <v>0</v>
      </c>
      <c r="Z54" s="5">
        <f t="shared" si="40"/>
        <v>0</v>
      </c>
      <c r="AA54" s="5">
        <f t="shared" si="40"/>
        <v>0</v>
      </c>
      <c r="AB54" s="5">
        <f t="shared" si="40"/>
        <v>0</v>
      </c>
      <c r="AC54" s="5">
        <f t="shared" si="40"/>
        <v>0</v>
      </c>
      <c r="AD54" s="5">
        <f t="shared" si="40"/>
        <v>0</v>
      </c>
      <c r="AE54" s="5">
        <f t="shared" si="40"/>
        <v>0</v>
      </c>
      <c r="AF54" s="5">
        <f t="shared" si="40"/>
        <v>0</v>
      </c>
      <c r="AG54" s="5">
        <f t="shared" si="40"/>
        <v>0</v>
      </c>
      <c r="AH54" s="5">
        <f t="shared" si="40"/>
        <v>0</v>
      </c>
      <c r="AI54" s="5">
        <f t="shared" si="40"/>
        <v>0</v>
      </c>
      <c r="AJ54" s="5">
        <f t="shared" si="40"/>
        <v>0</v>
      </c>
      <c r="AK54" s="5">
        <f t="shared" si="40"/>
        <v>0</v>
      </c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</row>
    <row r="55" spans="1:55" hidden="1">
      <c r="A55" s="6" t="s">
        <v>39</v>
      </c>
      <c r="C55" s="18">
        <f t="shared" ref="C55:AK55" si="41">SUMIF($C$95:$PF$95, LOOKUP(C46,  $C$95:$PF$95), $C$104:$PF$104)</f>
        <v>116666.52789253781</v>
      </c>
      <c r="D55" s="5">
        <f t="shared" si="41"/>
        <v>130167.04272319871</v>
      </c>
      <c r="E55" s="5">
        <f t="shared" si="41"/>
        <v>145229.82141809983</v>
      </c>
      <c r="F55" s="5">
        <f t="shared" si="41"/>
        <v>162035.64733344089</v>
      </c>
      <c r="G55" s="5">
        <f t="shared" si="41"/>
        <v>180786.22386500484</v>
      </c>
      <c r="H55" s="5">
        <f t="shared" si="41"/>
        <v>201706.59529079043</v>
      </c>
      <c r="I55" s="5">
        <f t="shared" si="41"/>
        <v>225047.84775073978</v>
      </c>
      <c r="J55" s="5">
        <f t="shared" si="41"/>
        <v>251090.12278069305</v>
      </c>
      <c r="K55" s="5">
        <f t="shared" si="41"/>
        <v>280145.97956898808</v>
      </c>
      <c r="L55" s="5">
        <f t="shared" si="41"/>
        <v>312564.14628947939</v>
      </c>
      <c r="M55" s="5">
        <f t="shared" si="41"/>
        <v>348733.70553444856</v>
      </c>
      <c r="N55" s="5">
        <f t="shared" si="41"/>
        <v>389088.76408093929</v>
      </c>
      <c r="O55" s="5">
        <f t="shared" si="41"/>
        <v>434113.66303701949</v>
      </c>
      <c r="P55" s="5">
        <f t="shared" si="41"/>
        <v>484348.79090010445</v>
      </c>
      <c r="Q55" s="5">
        <f t="shared" si="41"/>
        <v>540397.06929562334</v>
      </c>
      <c r="R55" s="5">
        <f t="shared" si="41"/>
        <v>602931.18923781696</v>
      </c>
      <c r="S55" s="5">
        <f t="shared" si="41"/>
        <v>672701.68476221326</v>
      </c>
      <c r="T55" s="5">
        <f t="shared" si="41"/>
        <v>750545.94082945597</v>
      </c>
      <c r="U55" s="5">
        <f t="shared" si="41"/>
        <v>837398.24361328199</v>
      </c>
      <c r="V55" s="5">
        <f t="shared" si="41"/>
        <v>934300.99379612703</v>
      </c>
      <c r="W55" s="5">
        <f t="shared" si="41"/>
        <v>0</v>
      </c>
      <c r="X55" s="5">
        <f t="shared" si="41"/>
        <v>0</v>
      </c>
      <c r="Y55" s="5">
        <f t="shared" si="41"/>
        <v>0</v>
      </c>
      <c r="Z55" s="5">
        <f t="shared" si="41"/>
        <v>0</v>
      </c>
      <c r="AA55" s="5">
        <f t="shared" si="41"/>
        <v>0</v>
      </c>
      <c r="AB55" s="5">
        <f t="shared" si="41"/>
        <v>0</v>
      </c>
      <c r="AC55" s="5">
        <f t="shared" si="41"/>
        <v>0</v>
      </c>
      <c r="AD55" s="5">
        <f t="shared" si="41"/>
        <v>0</v>
      </c>
      <c r="AE55" s="5">
        <f t="shared" si="41"/>
        <v>0</v>
      </c>
      <c r="AF55" s="5">
        <f t="shared" si="41"/>
        <v>0</v>
      </c>
      <c r="AG55" s="5">
        <f t="shared" si="41"/>
        <v>0</v>
      </c>
      <c r="AH55" s="5">
        <f t="shared" si="41"/>
        <v>0</v>
      </c>
      <c r="AI55" s="5">
        <f t="shared" si="41"/>
        <v>0</v>
      </c>
      <c r="AJ55" s="5">
        <f t="shared" si="41"/>
        <v>0</v>
      </c>
      <c r="AK55" s="5">
        <f t="shared" si="41"/>
        <v>0</v>
      </c>
    </row>
    <row r="56" spans="1:55" hidden="1">
      <c r="A56" s="6"/>
      <c r="C56" s="18"/>
    </row>
    <row r="57" spans="1:55" hidden="1">
      <c r="A57" s="6" t="s">
        <v>40</v>
      </c>
      <c r="C57" s="18">
        <f t="shared" ref="C57:AK57" si="42">SUMIF($C$95:$PF$95, LOOKUP(C46,  $C$95:$PF$95), $C$108:$PF$108)</f>
        <v>116666.52789253781</v>
      </c>
      <c r="D57" s="5">
        <f t="shared" si="42"/>
        <v>130167.04272319871</v>
      </c>
      <c r="E57" s="5">
        <f t="shared" si="42"/>
        <v>144907.23158411725</v>
      </c>
      <c r="F57" s="5">
        <f t="shared" si="42"/>
        <v>150000</v>
      </c>
      <c r="G57" s="5">
        <f t="shared" si="42"/>
        <v>150000</v>
      </c>
      <c r="H57" s="5">
        <f t="shared" si="42"/>
        <v>150000</v>
      </c>
      <c r="I57" s="5">
        <f t="shared" si="42"/>
        <v>150000</v>
      </c>
      <c r="J57" s="5">
        <f t="shared" si="42"/>
        <v>150000</v>
      </c>
      <c r="K57" s="5">
        <f t="shared" si="42"/>
        <v>150000</v>
      </c>
      <c r="L57" s="5">
        <f t="shared" si="42"/>
        <v>150000</v>
      </c>
      <c r="M57" s="5">
        <f t="shared" si="42"/>
        <v>150000</v>
      </c>
      <c r="N57" s="5">
        <f t="shared" si="42"/>
        <v>150000</v>
      </c>
      <c r="O57" s="5">
        <f t="shared" si="42"/>
        <v>150000</v>
      </c>
      <c r="P57" s="5">
        <f t="shared" si="42"/>
        <v>150000</v>
      </c>
      <c r="Q57" s="5">
        <f t="shared" si="42"/>
        <v>150000</v>
      </c>
      <c r="R57" s="5">
        <f t="shared" si="42"/>
        <v>150000</v>
      </c>
      <c r="S57" s="5">
        <f t="shared" si="42"/>
        <v>150000</v>
      </c>
      <c r="T57" s="5">
        <f t="shared" si="42"/>
        <v>150000</v>
      </c>
      <c r="U57" s="5">
        <f t="shared" si="42"/>
        <v>150000</v>
      </c>
      <c r="V57" s="5">
        <f t="shared" si="42"/>
        <v>150000</v>
      </c>
      <c r="W57" s="5">
        <f t="shared" si="42"/>
        <v>0</v>
      </c>
      <c r="X57" s="5">
        <f t="shared" si="42"/>
        <v>0</v>
      </c>
      <c r="Y57" s="5">
        <f t="shared" si="42"/>
        <v>0</v>
      </c>
      <c r="Z57" s="5">
        <f t="shared" si="42"/>
        <v>0</v>
      </c>
      <c r="AA57" s="5">
        <f t="shared" si="42"/>
        <v>0</v>
      </c>
      <c r="AB57" s="5">
        <f t="shared" si="42"/>
        <v>0</v>
      </c>
      <c r="AC57" s="5">
        <f t="shared" si="42"/>
        <v>0</v>
      </c>
      <c r="AD57" s="5">
        <f t="shared" si="42"/>
        <v>0</v>
      </c>
      <c r="AE57" s="5">
        <f t="shared" si="42"/>
        <v>0</v>
      </c>
      <c r="AF57" s="5">
        <f t="shared" si="42"/>
        <v>0</v>
      </c>
      <c r="AG57" s="5">
        <f t="shared" si="42"/>
        <v>0</v>
      </c>
      <c r="AH57" s="5">
        <f t="shared" si="42"/>
        <v>0</v>
      </c>
      <c r="AI57" s="5">
        <f t="shared" si="42"/>
        <v>0</v>
      </c>
      <c r="AJ57" s="5">
        <f t="shared" si="42"/>
        <v>0</v>
      </c>
      <c r="AK57" s="5">
        <f t="shared" si="42"/>
        <v>0</v>
      </c>
    </row>
    <row r="58" spans="1:55" hidden="1">
      <c r="A58" s="6" t="s">
        <v>41</v>
      </c>
      <c r="C58" s="18">
        <f t="shared" ref="C58:AK58" si="43">SUMIF($C$95:$PF$95, LOOKUP(C46,  $C$95:$PF$95), $C$109:$PF$109)</f>
        <v>199999.99999999997</v>
      </c>
      <c r="D58" s="5">
        <f t="shared" si="43"/>
        <v>199999.99999999997</v>
      </c>
      <c r="E58" s="5">
        <f t="shared" si="43"/>
        <v>199999.99999999997</v>
      </c>
      <c r="F58" s="5">
        <f t="shared" si="43"/>
        <v>199999.99999999997</v>
      </c>
      <c r="G58" s="5">
        <f t="shared" si="43"/>
        <v>199999.99999999997</v>
      </c>
      <c r="H58" s="5">
        <f t="shared" si="43"/>
        <v>199999.99999999997</v>
      </c>
      <c r="I58" s="5">
        <f t="shared" si="43"/>
        <v>199999.99999999997</v>
      </c>
      <c r="J58" s="5">
        <f t="shared" si="43"/>
        <v>199999.99999999997</v>
      </c>
      <c r="K58" s="5">
        <f t="shared" si="43"/>
        <v>199999.99999999997</v>
      </c>
      <c r="L58" s="5">
        <f t="shared" si="43"/>
        <v>199999.99999999997</v>
      </c>
      <c r="M58" s="5">
        <f t="shared" si="43"/>
        <v>199999.99999999997</v>
      </c>
      <c r="N58" s="5">
        <f t="shared" si="43"/>
        <v>199999.99999999997</v>
      </c>
      <c r="O58" s="5">
        <f t="shared" si="43"/>
        <v>199999.99999999997</v>
      </c>
      <c r="P58" s="5">
        <f t="shared" si="43"/>
        <v>199999.99999999997</v>
      </c>
      <c r="Q58" s="5">
        <f t="shared" si="43"/>
        <v>199999.99999999997</v>
      </c>
      <c r="R58" s="5">
        <f t="shared" si="43"/>
        <v>199999.99999999997</v>
      </c>
      <c r="S58" s="5">
        <f t="shared" si="43"/>
        <v>199999.99999999997</v>
      </c>
      <c r="T58" s="5">
        <f t="shared" si="43"/>
        <v>199999.99999999997</v>
      </c>
      <c r="U58" s="5">
        <f t="shared" si="43"/>
        <v>153502.61306773243</v>
      </c>
      <c r="V58" s="5">
        <f t="shared" si="43"/>
        <v>56599.862884887574</v>
      </c>
      <c r="W58" s="5">
        <f t="shared" si="43"/>
        <v>0</v>
      </c>
      <c r="X58" s="5">
        <f t="shared" si="43"/>
        <v>0</v>
      </c>
      <c r="Y58" s="5">
        <f t="shared" si="43"/>
        <v>0</v>
      </c>
      <c r="Z58" s="5">
        <f t="shared" si="43"/>
        <v>0</v>
      </c>
      <c r="AA58" s="5">
        <f t="shared" si="43"/>
        <v>0</v>
      </c>
      <c r="AB58" s="5">
        <f t="shared" si="43"/>
        <v>0</v>
      </c>
      <c r="AC58" s="5">
        <f t="shared" si="43"/>
        <v>0</v>
      </c>
      <c r="AD58" s="5">
        <f t="shared" si="43"/>
        <v>0</v>
      </c>
      <c r="AE58" s="5">
        <f t="shared" si="43"/>
        <v>0</v>
      </c>
      <c r="AF58" s="5">
        <f t="shared" si="43"/>
        <v>0</v>
      </c>
      <c r="AG58" s="5">
        <f t="shared" si="43"/>
        <v>0</v>
      </c>
      <c r="AH58" s="5">
        <f t="shared" si="43"/>
        <v>0</v>
      </c>
      <c r="AI58" s="5">
        <f t="shared" si="43"/>
        <v>0</v>
      </c>
      <c r="AJ58" s="5">
        <f t="shared" si="43"/>
        <v>0</v>
      </c>
      <c r="AK58" s="5">
        <f t="shared" si="43"/>
        <v>0</v>
      </c>
    </row>
    <row r="59" spans="1:55" hidden="1">
      <c r="A59" s="6"/>
      <c r="C59" s="18"/>
    </row>
    <row r="60" spans="1:55" hidden="1">
      <c r="A60" s="6" t="s">
        <v>42</v>
      </c>
      <c r="C60" s="18">
        <f t="shared" ref="C60:AK60" si="44">SUMIF($C$95:$PF$95, LOOKUP(C46,  $C$95:$PF$95), $C$111:$PF$111)</f>
        <v>74789.252222979834</v>
      </c>
      <c r="D60" s="5">
        <f t="shared" si="44"/>
        <v>80195.773313356476</v>
      </c>
      <c r="E60" s="5">
        <f t="shared" si="44"/>
        <v>85993.132250507377</v>
      </c>
      <c r="F60" s="5">
        <f t="shared" si="44"/>
        <v>92209.582733977528</v>
      </c>
      <c r="G60" s="5">
        <f t="shared" si="44"/>
        <v>98875.420925536571</v>
      </c>
      <c r="H60" s="5">
        <f t="shared" si="44"/>
        <v>106023.13309893801</v>
      </c>
      <c r="I60" s="5">
        <f t="shared" si="44"/>
        <v>113687.55396329168</v>
      </c>
      <c r="J60" s="5">
        <f t="shared" si="44"/>
        <v>121906.03643164573</v>
      </c>
      <c r="K60" s="5">
        <f t="shared" si="44"/>
        <v>130718.63366215264</v>
      </c>
      <c r="L60" s="5">
        <f t="shared" si="44"/>
        <v>140168.29425900633</v>
      </c>
      <c r="M60" s="5">
        <f t="shared" si="44"/>
        <v>150301.07158447057</v>
      </c>
      <c r="N60" s="5">
        <f t="shared" si="44"/>
        <v>161166.34820209089</v>
      </c>
      <c r="O60" s="5">
        <f t="shared" si="44"/>
        <v>172817.07654492435</v>
      </c>
      <c r="P60" s="5">
        <f t="shared" si="44"/>
        <v>185310.03698169527</v>
      </c>
      <c r="Q60" s="5">
        <f t="shared" si="44"/>
        <v>198706.1145385741</v>
      </c>
      <c r="R60" s="5">
        <f t="shared" si="44"/>
        <v>213070.59562519609</v>
      </c>
      <c r="S60" s="5">
        <f t="shared" si="44"/>
        <v>228473.48621102786</v>
      </c>
      <c r="T60" s="5">
        <f t="shared" si="44"/>
        <v>244989.85300272919</v>
      </c>
      <c r="U60" s="5">
        <f t="shared" si="44"/>
        <v>262700.18928525376</v>
      </c>
      <c r="V60" s="5">
        <f t="shared" si="44"/>
        <v>281690.80720963335</v>
      </c>
      <c r="W60" s="5">
        <f t="shared" si="44"/>
        <v>302054.25843927613</v>
      </c>
      <c r="X60" s="5">
        <f t="shared" si="44"/>
        <v>323889.78520482185</v>
      </c>
      <c r="Y60" s="5">
        <f t="shared" si="44"/>
        <v>347303.80396578723</v>
      </c>
      <c r="Z60" s="5">
        <f t="shared" si="44"/>
        <v>372410.42403615237</v>
      </c>
      <c r="AA60" s="5">
        <f t="shared" si="44"/>
        <v>399332.00370143086</v>
      </c>
      <c r="AB60" s="5">
        <f t="shared" si="44"/>
        <v>428199.74653749011</v>
      </c>
      <c r="AC60" s="5">
        <f t="shared" si="44"/>
        <v>459154.34083730495</v>
      </c>
      <c r="AD60" s="5">
        <f t="shared" si="44"/>
        <v>492346.64526192535</v>
      </c>
      <c r="AE60" s="5">
        <f t="shared" si="44"/>
        <v>527938.42405720637</v>
      </c>
      <c r="AF60" s="5">
        <f t="shared" si="44"/>
        <v>566103.13541941554</v>
      </c>
      <c r="AG60" s="5">
        <f t="shared" si="44"/>
        <v>0</v>
      </c>
      <c r="AH60" s="5">
        <f t="shared" si="44"/>
        <v>0</v>
      </c>
      <c r="AI60" s="5">
        <f t="shared" si="44"/>
        <v>0</v>
      </c>
      <c r="AJ60" s="5">
        <f t="shared" si="44"/>
        <v>0</v>
      </c>
      <c r="AK60" s="5">
        <f t="shared" si="44"/>
        <v>0</v>
      </c>
    </row>
    <row r="61" spans="1:55" hidden="1">
      <c r="A61" s="6" t="s">
        <v>43</v>
      </c>
      <c r="B61" s="5">
        <f>B30</f>
        <v>6000</v>
      </c>
      <c r="C61" s="18">
        <f>IF(C46&lt;=$B$92, B61*1.03, 0)</f>
        <v>6180</v>
      </c>
      <c r="D61" s="5">
        <f>IF(D46&lt;=$B$92, C61*1.03, 0)</f>
        <v>6365.4000000000005</v>
      </c>
      <c r="E61" s="5">
        <f t="shared" ref="E61:AK61" si="45">IF(E46&lt;=$B$92, D61*1.03, 0)</f>
        <v>6556.362000000001</v>
      </c>
      <c r="F61" s="5">
        <f>IF(F46&lt;=$B$92, E61*1.03, 0)</f>
        <v>6753.0528600000016</v>
      </c>
      <c r="G61" s="5">
        <f t="shared" si="45"/>
        <v>6955.6444458000014</v>
      </c>
      <c r="H61" s="5">
        <f t="shared" si="45"/>
        <v>7164.3137791740019</v>
      </c>
      <c r="I61" s="5">
        <f t="shared" si="45"/>
        <v>7379.2431925492219</v>
      </c>
      <c r="J61" s="5">
        <f t="shared" si="45"/>
        <v>7600.6204883256987</v>
      </c>
      <c r="K61" s="5">
        <f t="shared" si="45"/>
        <v>7828.6391029754695</v>
      </c>
      <c r="L61" s="5">
        <f t="shared" si="45"/>
        <v>8063.4982760647335</v>
      </c>
      <c r="M61" s="5">
        <f t="shared" si="45"/>
        <v>8305.4032243466754</v>
      </c>
      <c r="N61" s="5">
        <f t="shared" si="45"/>
        <v>8554.5653210770761</v>
      </c>
      <c r="O61" s="5">
        <f t="shared" si="45"/>
        <v>8811.202280709389</v>
      </c>
      <c r="P61" s="5">
        <f t="shared" si="45"/>
        <v>9075.5383491306711</v>
      </c>
      <c r="Q61" s="5">
        <f t="shared" si="45"/>
        <v>9347.8044996045919</v>
      </c>
      <c r="R61" s="5">
        <f t="shared" si="45"/>
        <v>9628.2386345927298</v>
      </c>
      <c r="S61" s="5">
        <f t="shared" si="45"/>
        <v>9917.0857936305129</v>
      </c>
      <c r="T61" s="5">
        <f t="shared" si="45"/>
        <v>10214.598367439428</v>
      </c>
      <c r="U61" s="5">
        <f t="shared" si="45"/>
        <v>10521.036318462611</v>
      </c>
      <c r="V61" s="5">
        <f t="shared" si="45"/>
        <v>10836.66740801649</v>
      </c>
      <c r="W61" s="5">
        <f t="shared" si="45"/>
        <v>11161.767430256985</v>
      </c>
      <c r="X61" s="5">
        <f t="shared" si="45"/>
        <v>11496.620453164694</v>
      </c>
      <c r="Y61" s="5">
        <f t="shared" si="45"/>
        <v>11841.519066759636</v>
      </c>
      <c r="Z61" s="5">
        <f t="shared" si="45"/>
        <v>12196.764638762426</v>
      </c>
      <c r="AA61" s="5">
        <f t="shared" si="45"/>
        <v>12562.6675779253</v>
      </c>
      <c r="AB61" s="5">
        <f t="shared" si="45"/>
        <v>12939.54760526306</v>
      </c>
      <c r="AC61" s="5">
        <f t="shared" si="45"/>
        <v>13327.734033420953</v>
      </c>
      <c r="AD61" s="5">
        <f t="shared" si="45"/>
        <v>13727.566054423582</v>
      </c>
      <c r="AE61" s="5">
        <f t="shared" si="45"/>
        <v>14139.39303605629</v>
      </c>
      <c r="AF61" s="5">
        <f t="shared" si="45"/>
        <v>14563.57482713798</v>
      </c>
      <c r="AG61" s="5">
        <f t="shared" si="45"/>
        <v>0</v>
      </c>
      <c r="AH61" s="5">
        <f t="shared" si="45"/>
        <v>0</v>
      </c>
      <c r="AI61" s="5">
        <f t="shared" si="45"/>
        <v>0</v>
      </c>
      <c r="AJ61" s="5">
        <f t="shared" si="45"/>
        <v>0</v>
      </c>
      <c r="AK61" s="5">
        <f t="shared" si="45"/>
        <v>0</v>
      </c>
    </row>
    <row r="62" spans="1:55" hidden="1">
      <c r="A62" s="6"/>
      <c r="C62" s="18"/>
    </row>
    <row r="63" spans="1:55" hidden="1">
      <c r="A63" s="6" t="s">
        <v>44</v>
      </c>
      <c r="C63" s="18">
        <f>C57+C58-C53-C60-C61</f>
        <v>-755203.58101145679</v>
      </c>
      <c r="D63" s="5">
        <f t="shared" ref="D63:AK63" si="46">D57+D58-D53-D60-D61</f>
        <v>-747294.98727117258</v>
      </c>
      <c r="E63" s="5">
        <f t="shared" si="46"/>
        <v>-738543.11934740492</v>
      </c>
      <c r="F63" s="5">
        <f t="shared" si="46"/>
        <v>-739863.49227499228</v>
      </c>
      <c r="G63" s="5">
        <f t="shared" si="46"/>
        <v>-746731.92205235129</v>
      </c>
      <c r="H63" s="5">
        <f t="shared" si="46"/>
        <v>-754088.3035591268</v>
      </c>
      <c r="I63" s="5">
        <f t="shared" si="46"/>
        <v>-761967.65383685566</v>
      </c>
      <c r="J63" s="5">
        <f t="shared" si="46"/>
        <v>-770407.51360098622</v>
      </c>
      <c r="K63" s="5">
        <f t="shared" si="46"/>
        <v>-779448.12944614294</v>
      </c>
      <c r="L63" s="5">
        <f t="shared" si="46"/>
        <v>-789132.64921608579</v>
      </c>
      <c r="M63" s="5">
        <f t="shared" si="46"/>
        <v>-799507.33148983202</v>
      </c>
      <c r="N63" s="5">
        <f t="shared" si="46"/>
        <v>-810621.77020418271</v>
      </c>
      <c r="O63" s="5">
        <f t="shared" si="46"/>
        <v>-822529.13550664845</v>
      </c>
      <c r="P63" s="5">
        <f t="shared" si="46"/>
        <v>-835286.43201184063</v>
      </c>
      <c r="Q63" s="5">
        <f t="shared" si="46"/>
        <v>-848954.77571919351</v>
      </c>
      <c r="R63" s="5">
        <f t="shared" si="46"/>
        <v>-863599.69094080362</v>
      </c>
      <c r="S63" s="5">
        <f t="shared" si="46"/>
        <v>-879291.42868567316</v>
      </c>
      <c r="T63" s="5">
        <f t="shared" si="46"/>
        <v>-896105.30805118347</v>
      </c>
      <c r="U63" s="5">
        <f t="shared" si="46"/>
        <v>-960619.46921699867</v>
      </c>
      <c r="V63" s="5">
        <f t="shared" si="46"/>
        <v>-1076828.468413777</v>
      </c>
      <c r="W63" s="5">
        <f t="shared" si="46"/>
        <v>-313216.02586953313</v>
      </c>
      <c r="X63" s="5">
        <f t="shared" si="46"/>
        <v>-335386.40565798653</v>
      </c>
      <c r="Y63" s="5">
        <f t="shared" si="46"/>
        <v>-359145.32303254685</v>
      </c>
      <c r="Z63" s="5">
        <f t="shared" si="46"/>
        <v>-384607.18867491477</v>
      </c>
      <c r="AA63" s="5">
        <f t="shared" si="46"/>
        <v>-411894.67127935617</v>
      </c>
      <c r="AB63" s="5">
        <f t="shared" si="46"/>
        <v>-441139.29414275318</v>
      </c>
      <c r="AC63" s="5">
        <f t="shared" si="46"/>
        <v>-472482.07487072592</v>
      </c>
      <c r="AD63" s="5">
        <f t="shared" si="46"/>
        <v>-506074.21131634893</v>
      </c>
      <c r="AE63" s="5">
        <f t="shared" si="46"/>
        <v>-542077.81709326268</v>
      </c>
      <c r="AF63" s="5">
        <f t="shared" si="46"/>
        <v>-580666.71024655353</v>
      </c>
      <c r="AG63" s="5">
        <f t="shared" si="46"/>
        <v>0</v>
      </c>
      <c r="AH63" s="5">
        <f t="shared" si="46"/>
        <v>0</v>
      </c>
      <c r="AI63" s="5">
        <f t="shared" si="46"/>
        <v>0</v>
      </c>
      <c r="AJ63" s="5">
        <f t="shared" si="46"/>
        <v>0</v>
      </c>
      <c r="AK63" s="5">
        <f t="shared" si="46"/>
        <v>0</v>
      </c>
    </row>
    <row r="64" spans="1:55" hidden="1">
      <c r="A64" s="6" t="s">
        <v>45</v>
      </c>
      <c r="C64" s="18">
        <f>C63</f>
        <v>-755203.58101145679</v>
      </c>
      <c r="D64" s="5">
        <f>IF(D46&lt;=$B$92, C64+D63, 0)</f>
        <v>-1502498.5682826294</v>
      </c>
      <c r="E64" s="5">
        <f>IF(E46&lt;=$B$92, D64+E63, 0)</f>
        <v>-2241041.6876300341</v>
      </c>
      <c r="F64" s="5">
        <f>IF(F46&lt;=$B$92, E64+F63, 0)</f>
        <v>-2980905.1799050262</v>
      </c>
      <c r="G64" s="5">
        <f t="shared" ref="G64:AK64" si="47">IF(G46&lt;=$B$92, F64+G63, 0)</f>
        <v>-3727637.1019573775</v>
      </c>
      <c r="H64" s="5">
        <f t="shared" si="47"/>
        <v>-4481725.4055165043</v>
      </c>
      <c r="I64" s="5">
        <f t="shared" si="47"/>
        <v>-5243693.05935336</v>
      </c>
      <c r="J64" s="5">
        <f t="shared" si="47"/>
        <v>-6014100.5729543464</v>
      </c>
      <c r="K64" s="5">
        <f t="shared" si="47"/>
        <v>-6793548.7024004897</v>
      </c>
      <c r="L64" s="5">
        <f t="shared" si="47"/>
        <v>-7582681.3516165754</v>
      </c>
      <c r="M64" s="5">
        <f t="shared" si="47"/>
        <v>-8382188.6831064075</v>
      </c>
      <c r="N64" s="5">
        <f t="shared" si="47"/>
        <v>-9192810.4533105902</v>
      </c>
      <c r="O64" s="5">
        <f t="shared" si="47"/>
        <v>-10015339.588817239</v>
      </c>
      <c r="P64" s="5">
        <f t="shared" si="47"/>
        <v>-10850626.02082908</v>
      </c>
      <c r="Q64" s="5">
        <f t="shared" si="47"/>
        <v>-11699580.796548273</v>
      </c>
      <c r="R64" s="5">
        <f t="shared" si="47"/>
        <v>-12563180.487489076</v>
      </c>
      <c r="S64" s="5">
        <f t="shared" si="47"/>
        <v>-13442471.916174749</v>
      </c>
      <c r="T64" s="5">
        <f t="shared" si="47"/>
        <v>-14338577.224225933</v>
      </c>
      <c r="U64" s="5">
        <f t="shared" si="47"/>
        <v>-15299196.693442931</v>
      </c>
      <c r="V64" s="5">
        <f t="shared" si="47"/>
        <v>-16376025.161856709</v>
      </c>
      <c r="W64" s="5">
        <f t="shared" si="47"/>
        <v>-16689241.187726242</v>
      </c>
      <c r="X64" s="5">
        <f t="shared" si="47"/>
        <v>-17024627.593384229</v>
      </c>
      <c r="Y64" s="5">
        <f t="shared" si="47"/>
        <v>-17383772.916416775</v>
      </c>
      <c r="Z64" s="5">
        <f t="shared" si="47"/>
        <v>-17768380.105091691</v>
      </c>
      <c r="AA64" s="5">
        <f t="shared" si="47"/>
        <v>-18180274.776371047</v>
      </c>
      <c r="AB64" s="5">
        <f t="shared" si="47"/>
        <v>-18621414.0705138</v>
      </c>
      <c r="AC64" s="5">
        <f t="shared" si="47"/>
        <v>-19093896.145384524</v>
      </c>
      <c r="AD64" s="5">
        <f t="shared" si="47"/>
        <v>-19599970.356700871</v>
      </c>
      <c r="AE64" s="5">
        <f t="shared" si="47"/>
        <v>-20142048.173794135</v>
      </c>
      <c r="AF64" s="5">
        <f t="shared" si="47"/>
        <v>-20722714.884040687</v>
      </c>
      <c r="AG64" s="5">
        <f t="shared" si="47"/>
        <v>0</v>
      </c>
      <c r="AH64" s="5">
        <f t="shared" si="47"/>
        <v>0</v>
      </c>
      <c r="AI64" s="5">
        <f t="shared" si="47"/>
        <v>0</v>
      </c>
      <c r="AJ64" s="5">
        <f t="shared" si="47"/>
        <v>0</v>
      </c>
      <c r="AK64" s="5">
        <f t="shared" si="47"/>
        <v>0</v>
      </c>
    </row>
    <row r="65" spans="1:46" hidden="1">
      <c r="A65" s="6" t="s">
        <v>46</v>
      </c>
      <c r="C65" s="18">
        <f>$E$31*C49</f>
        <v>643374.0485137417</v>
      </c>
      <c r="D65" s="5">
        <f t="shared" ref="D65:E65" si="48">$E$31*D49</f>
        <v>689883.61050160404</v>
      </c>
      <c r="E65" s="5">
        <f t="shared" si="48"/>
        <v>739755.35248615709</v>
      </c>
      <c r="F65" s="5">
        <f>$E$31*F49</f>
        <v>793232.32673121453</v>
      </c>
      <c r="G65" s="5">
        <f t="shared" ref="G65:AK65" si="49">$E$31*G49</f>
        <v>850575.15576839424</v>
      </c>
      <c r="H65" s="5">
        <f t="shared" si="49"/>
        <v>912063.30255319702</v>
      </c>
      <c r="I65" s="5">
        <f t="shared" si="49"/>
        <v>977996.43244077323</v>
      </c>
      <c r="J65" s="5">
        <f t="shared" si="49"/>
        <v>1048695.8736190272</v>
      </c>
      <c r="K65" s="5">
        <f t="shared" si="49"/>
        <v>1124506.183116548</v>
      </c>
      <c r="L65" s="5">
        <f t="shared" si="49"/>
        <v>1205796.8260173809</v>
      </c>
      <c r="M65" s="5">
        <f t="shared" si="49"/>
        <v>1292963.9760663703</v>
      </c>
      <c r="N65" s="5">
        <f t="shared" si="49"/>
        <v>1386432.4464404085</v>
      </c>
      <c r="O65" s="5">
        <f t="shared" si="49"/>
        <v>1486657.7600952948</v>
      </c>
      <c r="P65" s="5">
        <f t="shared" si="49"/>
        <v>1594128.3697781344</v>
      </c>
      <c r="Q65" s="5">
        <f t="shared" si="49"/>
        <v>1709368.0385246151</v>
      </c>
      <c r="R65" s="5">
        <f t="shared" si="49"/>
        <v>1832938.3922426247</v>
      </c>
      <c r="S65" s="5">
        <f t="shared" si="49"/>
        <v>1965441.6568223434</v>
      </c>
      <c r="T65" s="5">
        <f t="shared" si="49"/>
        <v>2107523.5931122457</v>
      </c>
      <c r="U65" s="5">
        <f t="shared" si="49"/>
        <v>2259876.6440647547</v>
      </c>
      <c r="V65" s="5">
        <f t="shared" si="49"/>
        <v>2423243.3093893155</v>
      </c>
      <c r="W65" s="5">
        <f t="shared" si="49"/>
        <v>2598419.7641594014</v>
      </c>
      <c r="X65" s="5">
        <f t="shared" si="49"/>
        <v>2786259.7390089259</v>
      </c>
      <c r="Y65" s="5">
        <f t="shared" si="49"/>
        <v>2987678.6808283557</v>
      </c>
      <c r="Z65" s="5">
        <f t="shared" si="49"/>
        <v>3203658.2142378897</v>
      </c>
      <c r="AA65" s="5">
        <f t="shared" si="49"/>
        <v>3435250.9255808918</v>
      </c>
      <c r="AB65" s="5">
        <f t="shared" si="49"/>
        <v>3683585.4927525935</v>
      </c>
      <c r="AC65" s="5">
        <f t="shared" si="49"/>
        <v>3949872.1858645375</v>
      </c>
      <c r="AD65" s="5">
        <f t="shared" si="49"/>
        <v>4235408.7655524816</v>
      </c>
      <c r="AE65" s="5">
        <f t="shared" si="49"/>
        <v>4541586.8076734822</v>
      </c>
      <c r="AF65" s="5">
        <f t="shared" si="49"/>
        <v>4869898.485215812</v>
      </c>
      <c r="AG65" s="5">
        <f t="shared" si="49"/>
        <v>0</v>
      </c>
      <c r="AH65" s="5">
        <f t="shared" si="49"/>
        <v>0</v>
      </c>
      <c r="AI65" s="5">
        <f t="shared" si="49"/>
        <v>0</v>
      </c>
      <c r="AJ65" s="5">
        <f t="shared" si="49"/>
        <v>0</v>
      </c>
      <c r="AK65" s="5">
        <f t="shared" si="49"/>
        <v>0</v>
      </c>
    </row>
    <row r="66" spans="1:46" hidden="1">
      <c r="A66" s="6" t="s">
        <v>47</v>
      </c>
      <c r="C66" s="18">
        <f>$E$32*C49</f>
        <v>107229.00808562363</v>
      </c>
      <c r="D66" s="5">
        <f t="shared" ref="D66:E66" si="50">$E$32*D49</f>
        <v>114980.60175026735</v>
      </c>
      <c r="E66" s="5">
        <f t="shared" si="50"/>
        <v>123292.55874769285</v>
      </c>
      <c r="F66" s="5">
        <f>$E$32*F49</f>
        <v>132205.38778853577</v>
      </c>
      <c r="G66" s="5">
        <f t="shared" ref="G66:AK66" si="51">$E$32*G49</f>
        <v>141762.52596139905</v>
      </c>
      <c r="H66" s="5">
        <f t="shared" si="51"/>
        <v>152010.55042553286</v>
      </c>
      <c r="I66" s="5">
        <f t="shared" si="51"/>
        <v>162999.40540679556</v>
      </c>
      <c r="J66" s="5">
        <f t="shared" si="51"/>
        <v>174782.64560317123</v>
      </c>
      <c r="K66" s="5">
        <f t="shared" si="51"/>
        <v>187417.69718609136</v>
      </c>
      <c r="L66" s="5">
        <f t="shared" si="51"/>
        <v>200966.1376695635</v>
      </c>
      <c r="M66" s="5">
        <f t="shared" si="51"/>
        <v>215493.99601106171</v>
      </c>
      <c r="N66" s="5">
        <f t="shared" si="51"/>
        <v>231072.07440673476</v>
      </c>
      <c r="O66" s="5">
        <f t="shared" si="51"/>
        <v>247776.29334921579</v>
      </c>
      <c r="P66" s="5">
        <f t="shared" si="51"/>
        <v>265688.06162968907</v>
      </c>
      <c r="Q66" s="5">
        <f t="shared" si="51"/>
        <v>284894.67308743583</v>
      </c>
      <c r="R66" s="5">
        <f t="shared" si="51"/>
        <v>305489.73204043746</v>
      </c>
      <c r="S66" s="5">
        <f t="shared" si="51"/>
        <v>327573.6094703906</v>
      </c>
      <c r="T66" s="5">
        <f t="shared" si="51"/>
        <v>351253.93218537426</v>
      </c>
      <c r="U66" s="5">
        <f t="shared" si="51"/>
        <v>376646.1073441258</v>
      </c>
      <c r="V66" s="5">
        <f t="shared" si="51"/>
        <v>403873.88489821926</v>
      </c>
      <c r="W66" s="5">
        <f t="shared" si="51"/>
        <v>433069.96069323365</v>
      </c>
      <c r="X66" s="5">
        <f t="shared" si="51"/>
        <v>464376.62316815439</v>
      </c>
      <c r="Y66" s="5">
        <f t="shared" si="51"/>
        <v>497946.44680472597</v>
      </c>
      <c r="Z66" s="5">
        <f t="shared" si="51"/>
        <v>533943.03570631496</v>
      </c>
      <c r="AA66" s="5">
        <f t="shared" si="51"/>
        <v>572541.82093014871</v>
      </c>
      <c r="AB66" s="5">
        <f t="shared" si="51"/>
        <v>613930.9154587657</v>
      </c>
      <c r="AC66" s="5">
        <f t="shared" si="51"/>
        <v>658312.03097742295</v>
      </c>
      <c r="AD66" s="5">
        <f t="shared" si="51"/>
        <v>705901.46092541364</v>
      </c>
      <c r="AE66" s="5">
        <f t="shared" si="51"/>
        <v>756931.13461224712</v>
      </c>
      <c r="AF66" s="5">
        <f t="shared" si="51"/>
        <v>811649.74753596878</v>
      </c>
      <c r="AG66" s="5">
        <f t="shared" si="51"/>
        <v>0</v>
      </c>
      <c r="AH66" s="5">
        <f t="shared" si="51"/>
        <v>0</v>
      </c>
      <c r="AI66" s="5">
        <f t="shared" si="51"/>
        <v>0</v>
      </c>
      <c r="AJ66" s="5">
        <f t="shared" si="51"/>
        <v>0</v>
      </c>
      <c r="AK66" s="5">
        <f t="shared" si="51"/>
        <v>0</v>
      </c>
    </row>
    <row r="67" spans="1:46" hidden="1">
      <c r="A67" s="6"/>
      <c r="C67" s="18"/>
    </row>
    <row r="68" spans="1:46" s="11" customFormat="1" ht="45" hidden="1">
      <c r="A68" s="13" t="s">
        <v>48</v>
      </c>
      <c r="B68" s="10"/>
      <c r="C68" s="19">
        <f>C51+C64-C65-C66</f>
        <v>1333760.6988440787</v>
      </c>
      <c r="D68" s="10">
        <f t="shared" ref="D68:AK68" si="52">D51+D64-D65-D66</f>
        <v>1437530.9651079702</v>
      </c>
      <c r="E68" s="10">
        <f t="shared" si="52"/>
        <v>1617229.6679392364</v>
      </c>
      <c r="F68" s="10">
        <f t="shared" si="52"/>
        <v>1868294.9237960754</v>
      </c>
      <c r="G68" s="10">
        <f t="shared" si="52"/>
        <v>2191163.075685014</v>
      </c>
      <c r="H68" s="10">
        <f t="shared" si="52"/>
        <v>2591847.642581122</v>
      </c>
      <c r="I68" s="10">
        <f t="shared" si="52"/>
        <v>3076891.3497524397</v>
      </c>
      <c r="J68" s="10">
        <f t="shared" si="52"/>
        <v>3653415.2971950811</v>
      </c>
      <c r="K68" s="10">
        <f t="shared" si="52"/>
        <v>4329172.9445294999</v>
      </c>
      <c r="L68" s="10">
        <f t="shared" si="52"/>
        <v>5112609.4065658022</v>
      </c>
      <c r="M68" s="10">
        <f t="shared" si="52"/>
        <v>6012926.6063697534</v>
      </c>
      <c r="N68" s="10">
        <f t="shared" si="52"/>
        <v>7040154.8910441054</v>
      </c>
      <c r="O68" s="10">
        <f t="shared" si="52"/>
        <v>8205231.7802252118</v>
      </c>
      <c r="P68" s="10">
        <f t="shared" si="52"/>
        <v>9520088.5891974904</v>
      </c>
      <c r="Q68" s="10">
        <f t="shared" si="52"/>
        <v>10997745.748344367</v>
      </c>
      <c r="R68" s="10">
        <f t="shared" si="52"/>
        <v>12652417.729270533</v>
      </c>
      <c r="S68" s="10">
        <f t="shared" si="52"/>
        <v>14499628.586332712</v>
      </c>
      <c r="T68" s="10">
        <f t="shared" si="52"/>
        <v>16556339.231604472</v>
      </c>
      <c r="U68" s="10">
        <f t="shared" si="52"/>
        <v>18794590.295764644</v>
      </c>
      <c r="V68" s="10">
        <f t="shared" si="52"/>
        <v>21184246.133677687</v>
      </c>
      <c r="W68" s="10">
        <f t="shared" si="52"/>
        <v>23586265.156744491</v>
      </c>
      <c r="X68" s="10">
        <f t="shared" si="52"/>
        <v>26162398.361254133</v>
      </c>
      <c r="Y68" s="10">
        <f t="shared" si="52"/>
        <v>28925246.63642275</v>
      </c>
      <c r="Z68" s="10">
        <f t="shared" si="52"/>
        <v>31888322.215595607</v>
      </c>
      <c r="AA68" s="10">
        <f t="shared" si="52"/>
        <v>35066114.570132792</v>
      </c>
      <c r="AB68" s="10">
        <f t="shared" si="52"/>
        <v>38474161.067151405</v>
      </c>
      <c r="AC68" s="10">
        <f t="shared" si="52"/>
        <v>42129122.735515825</v>
      </c>
      <c r="AD68" s="10">
        <f t="shared" si="52"/>
        <v>46048865.509362601</v>
      </c>
      <c r="AE68" s="10">
        <f t="shared" si="52"/>
        <v>50252547.345144838</v>
      </c>
      <c r="AF68" s="10">
        <f t="shared" si="52"/>
        <v>54760711.636804409</v>
      </c>
      <c r="AG68" s="10">
        <f t="shared" si="52"/>
        <v>4.71482053399086E-9</v>
      </c>
      <c r="AH68" s="10">
        <f t="shared" si="52"/>
        <v>4.71482053399086E-9</v>
      </c>
      <c r="AI68" s="10">
        <f t="shared" si="52"/>
        <v>4.71482053399086E-9</v>
      </c>
      <c r="AJ68" s="10">
        <f t="shared" si="52"/>
        <v>4.71482053399086E-9</v>
      </c>
      <c r="AK68" s="10">
        <f t="shared" si="52"/>
        <v>4.71482053399086E-9</v>
      </c>
    </row>
    <row r="69" spans="1:46" hidden="1">
      <c r="A69" s="6"/>
      <c r="C69" s="18"/>
    </row>
    <row r="70" spans="1:46" hidden="1">
      <c r="A70" s="11" t="s">
        <v>49</v>
      </c>
      <c r="C70" s="18"/>
    </row>
    <row r="71" spans="1:46" hidden="1">
      <c r="A71" s="6" t="s">
        <v>50</v>
      </c>
      <c r="C71" s="18">
        <f t="shared" ref="C71:AK71" si="53">SUMIF($C$95:$PF$95, LOOKUP(C46,  $C$95:$PF$95), $C$121:$PF$121)</f>
        <v>250658.51055868238</v>
      </c>
      <c r="D71" s="5">
        <f t="shared" si="53"/>
        <v>271463.04331215803</v>
      </c>
      <c r="E71" s="5">
        <f t="shared" si="53"/>
        <v>293994.34202353284</v>
      </c>
      <c r="F71" s="5">
        <f t="shared" si="53"/>
        <v>318395.72741568455</v>
      </c>
      <c r="G71" s="5">
        <f t="shared" si="53"/>
        <v>344822.41576080467</v>
      </c>
      <c r="H71" s="5">
        <f t="shared" si="53"/>
        <v>373442.50620512548</v>
      </c>
      <c r="I71" s="5">
        <f t="shared" si="53"/>
        <v>404438.0500411113</v>
      </c>
      <c r="J71" s="5">
        <f t="shared" si="53"/>
        <v>438006.2087287145</v>
      </c>
      <c r="K71" s="5">
        <f t="shared" si="53"/>
        <v>474360.50803182501</v>
      </c>
      <c r="L71" s="5">
        <f t="shared" si="53"/>
        <v>513732.19624742633</v>
      </c>
      <c r="M71" s="5">
        <f t="shared" si="53"/>
        <v>556371.71516710171</v>
      </c>
      <c r="N71" s="5">
        <f t="shared" si="53"/>
        <v>602550.29312761954</v>
      </c>
      <c r="O71" s="5">
        <f t="shared" si="53"/>
        <v>652561.67028393259</v>
      </c>
      <c r="P71" s="5">
        <f t="shared" si="53"/>
        <v>706723.9670789839</v>
      </c>
      <c r="Q71" s="5">
        <f t="shared" si="53"/>
        <v>765381.70779558644</v>
      </c>
      <c r="R71" s="5">
        <f t="shared" si="53"/>
        <v>828908.01206210977</v>
      </c>
      <c r="S71" s="5">
        <f t="shared" si="53"/>
        <v>897706.96825205826</v>
      </c>
      <c r="T71" s="5">
        <f t="shared" si="53"/>
        <v>972216.20387464366</v>
      </c>
      <c r="U71" s="5">
        <f t="shared" si="53"/>
        <v>1052909.6693065085</v>
      </c>
      <c r="V71" s="5">
        <f t="shared" si="53"/>
        <v>1140300.6525718069</v>
      </c>
      <c r="W71" s="5">
        <f t="shared" si="53"/>
        <v>1234945.0443475482</v>
      </c>
      <c r="X71" s="5">
        <f t="shared" si="53"/>
        <v>1337444.8739627728</v>
      </c>
      <c r="Y71" s="5">
        <f t="shared" si="53"/>
        <v>1448452.1388839153</v>
      </c>
      <c r="Z71" s="5">
        <f t="shared" si="53"/>
        <v>1568672.9520455627</v>
      </c>
      <c r="AA71" s="5">
        <f t="shared" si="53"/>
        <v>1698872.033407625</v>
      </c>
      <c r="AB71" s="5">
        <f t="shared" si="53"/>
        <v>1839877.5743095288</v>
      </c>
      <c r="AC71" s="5">
        <f t="shared" si="53"/>
        <v>1992586.5055634163</v>
      </c>
      <c r="AD71" s="5">
        <f t="shared" si="53"/>
        <v>2157970.2027964797</v>
      </c>
      <c r="AE71" s="5">
        <f t="shared" si="53"/>
        <v>2337080.6653338904</v>
      </c>
      <c r="AF71" s="5">
        <f t="shared" si="53"/>
        <v>2531057.2079259702</v>
      </c>
      <c r="AG71" s="5">
        <f t="shared" si="53"/>
        <v>0</v>
      </c>
      <c r="AH71" s="5">
        <f t="shared" si="53"/>
        <v>0</v>
      </c>
      <c r="AI71" s="5">
        <f t="shared" si="53"/>
        <v>0</v>
      </c>
      <c r="AJ71" s="5">
        <f t="shared" si="53"/>
        <v>0</v>
      </c>
      <c r="AK71" s="5">
        <f t="shared" si="53"/>
        <v>0</v>
      </c>
      <c r="AL71" s="5"/>
      <c r="AM71" s="5"/>
      <c r="AN71" s="5"/>
      <c r="AO71" s="5"/>
      <c r="AP71" s="5"/>
      <c r="AQ71" s="5"/>
      <c r="AR71" s="5"/>
      <c r="AS71" s="5"/>
      <c r="AT71" s="5"/>
    </row>
    <row r="72" spans="1:46" hidden="1">
      <c r="A72" s="6" t="s">
        <v>51</v>
      </c>
      <c r="C72" s="18">
        <f t="shared" ref="C72:AK72" si="54">SUMIF($C$95:$PF$95, LOOKUP(C46,  $C$95:$PF$95), $C$122:$PF$122)</f>
        <v>5628.4138602589856</v>
      </c>
      <c r="D72" s="5">
        <f t="shared" si="54"/>
        <v>6156.3979032982479</v>
      </c>
      <c r="E72" s="5">
        <f t="shared" si="54"/>
        <v>6733.9104914348036</v>
      </c>
      <c r="F72" s="5">
        <f t="shared" si="54"/>
        <v>7365.5977438303926</v>
      </c>
      <c r="G72" s="5">
        <f t="shared" si="54"/>
        <v>8056.5416176715216</v>
      </c>
      <c r="H72" s="5">
        <f t="shared" si="54"/>
        <v>8812.3007927824547</v>
      </c>
      <c r="I72" s="5">
        <f t="shared" si="54"/>
        <v>9638.9553914969274</v>
      </c>
      <c r="J72" s="5">
        <f t="shared" si="54"/>
        <v>10543.15589356226</v>
      </c>
      <c r="K72" s="5">
        <f t="shared" si="54"/>
        <v>11532.176639598885</v>
      </c>
      <c r="L72" s="5">
        <f t="shared" si="54"/>
        <v>12613.974353553449</v>
      </c>
      <c r="M72" s="5">
        <f t="shared" si="54"/>
        <v>13797.252154961656</v>
      </c>
      <c r="N72" s="5">
        <f t="shared" si="54"/>
        <v>15091.529576002906</v>
      </c>
      <c r="O72" s="5">
        <f t="shared" si="54"/>
        <v>16507.219146637635</v>
      </c>
      <c r="P72" s="5">
        <f t="shared" si="54"/>
        <v>18055.710163958778</v>
      </c>
      <c r="Q72" s="5">
        <f t="shared" si="54"/>
        <v>19749.460319686201</v>
      </c>
      <c r="R72" s="5">
        <f t="shared" si="54"/>
        <v>21602.095922952158</v>
      </c>
      <c r="S72" s="5">
        <f t="shared" si="54"/>
        <v>23628.521524675311</v>
      </c>
      <c r="T72" s="5">
        <f t="shared" si="54"/>
        <v>25845.039825457163</v>
      </c>
      <c r="U72" s="5">
        <f t="shared" si="54"/>
        <v>28269.482831666326</v>
      </c>
      <c r="V72" s="5">
        <f t="shared" si="54"/>
        <v>30921.35531486808</v>
      </c>
      <c r="W72" s="5">
        <f t="shared" si="54"/>
        <v>33821.991728738052</v>
      </c>
      <c r="X72" s="5">
        <f t="shared" si="54"/>
        <v>36994.727845864647</v>
      </c>
      <c r="Y72" s="5">
        <f t="shared" si="54"/>
        <v>40465.088495267562</v>
      </c>
      <c r="Z72" s="5">
        <f t="shared" si="54"/>
        <v>44260.992910990433</v>
      </c>
      <c r="AA72" s="5">
        <f t="shared" si="54"/>
        <v>48412.979343807856</v>
      </c>
      <c r="AB72" s="5">
        <f t="shared" si="54"/>
        <v>52954.450743059904</v>
      </c>
      <c r="AC72" s="5">
        <f t="shared" si="54"/>
        <v>57921.943485137272</v>
      </c>
      <c r="AD72" s="5">
        <f t="shared" si="54"/>
        <v>63355.421310552076</v>
      </c>
      <c r="AE72" s="5">
        <f t="shared" si="54"/>
        <v>69298.59683433309</v>
      </c>
      <c r="AF72" s="5">
        <f t="shared" si="54"/>
        <v>75799.283216314157</v>
      </c>
      <c r="AG72" s="5">
        <f t="shared" si="54"/>
        <v>0</v>
      </c>
      <c r="AH72" s="5">
        <f t="shared" si="54"/>
        <v>0</v>
      </c>
      <c r="AI72" s="5">
        <f t="shared" si="54"/>
        <v>0</v>
      </c>
      <c r="AJ72" s="5">
        <f t="shared" si="54"/>
        <v>0</v>
      </c>
      <c r="AK72" s="5">
        <f t="shared" si="54"/>
        <v>0</v>
      </c>
    </row>
    <row r="73" spans="1:46" hidden="1">
      <c r="A73" s="6"/>
      <c r="C73" s="18"/>
    </row>
    <row r="74" spans="1:46" hidden="1">
      <c r="A74" s="6" t="s">
        <v>52</v>
      </c>
      <c r="C74" s="18">
        <f t="shared" ref="C74:AK74" si="55">SUMIF($C$95:$PF$95, LOOKUP(C46,  $C$95:$PF$95), $C$124:$PF$124)</f>
        <v>1267028.1160396961</v>
      </c>
      <c r="D74" s="5">
        <f t="shared" si="55"/>
        <v>1399702.5166045805</v>
      </c>
      <c r="E74" s="5">
        <f t="shared" si="55"/>
        <v>1546269.6606235488</v>
      </c>
      <c r="F74" s="5">
        <f t="shared" si="55"/>
        <v>1708184.2998788536</v>
      </c>
      <c r="G74" s="5">
        <f t="shared" si="55"/>
        <v>1887053.5176742321</v>
      </c>
      <c r="H74" s="5">
        <f t="shared" si="55"/>
        <v>2084652.6799357906</v>
      </c>
      <c r="I74" s="5">
        <f t="shared" si="55"/>
        <v>2302943.0566015868</v>
      </c>
      <c r="J74" s="5">
        <f t="shared" si="55"/>
        <v>2544091.2882009759</v>
      </c>
      <c r="K74" s="5">
        <f t="shared" si="55"/>
        <v>2810490.8908391804</v>
      </c>
      <c r="L74" s="5">
        <f t="shared" si="55"/>
        <v>3104786.0130347745</v>
      </c>
      <c r="M74" s="5">
        <f t="shared" si="55"/>
        <v>3429897.6802084805</v>
      </c>
      <c r="N74" s="5">
        <f t="shared" si="55"/>
        <v>3789052.7873128993</v>
      </c>
      <c r="O74" s="5">
        <f t="shared" si="55"/>
        <v>4185816.127369429</v>
      </c>
      <c r="P74" s="5">
        <f t="shared" si="55"/>
        <v>4624125.7738115313</v>
      </c>
      <c r="Q74" s="5">
        <f t="shared" si="55"/>
        <v>5108332.167821697</v>
      </c>
      <c r="R74" s="5">
        <f t="shared" si="55"/>
        <v>5643241.298623357</v>
      </c>
      <c r="S74" s="5">
        <f t="shared" si="55"/>
        <v>6234162.4053136166</v>
      </c>
      <c r="T74" s="5">
        <f t="shared" si="55"/>
        <v>6886960.6737012202</v>
      </c>
      <c r="U74" s="5">
        <f t="shared" si="55"/>
        <v>7608115.4511920549</v>
      </c>
      <c r="V74" s="5">
        <f t="shared" si="55"/>
        <v>8404784.5575338993</v>
      </c>
      <c r="W74" s="5">
        <f t="shared" si="55"/>
        <v>9284875.3297365196</v>
      </c>
      <c r="X74" s="5">
        <f t="shared" si="55"/>
        <v>10257123.106323248</v>
      </c>
      <c r="Y74" s="5">
        <f t="shared" si="55"/>
        <v>11331177.92990936</v>
      </c>
      <c r="Z74" s="5">
        <f t="shared" si="55"/>
        <v>12517700.328673292</v>
      </c>
      <c r="AA74" s="5">
        <f t="shared" si="55"/>
        <v>13828467.127399603</v>
      </c>
      <c r="AB74" s="5">
        <f t="shared" si="55"/>
        <v>15276488.338320751</v>
      </c>
      <c r="AC74" s="5">
        <f t="shared" si="55"/>
        <v>16876136.29195752</v>
      </c>
      <c r="AD74" s="5">
        <f t="shared" si="55"/>
        <v>18643288.289645791</v>
      </c>
      <c r="AE74" s="5">
        <f t="shared" si="55"/>
        <v>20595484.193647005</v>
      </c>
      <c r="AF74" s="5">
        <f t="shared" si="55"/>
        <v>22752100.519002531</v>
      </c>
      <c r="AG74" s="5">
        <f t="shared" si="55"/>
        <v>0</v>
      </c>
      <c r="AH74" s="5">
        <f t="shared" si="55"/>
        <v>0</v>
      </c>
      <c r="AI74" s="5">
        <f t="shared" si="55"/>
        <v>0</v>
      </c>
      <c r="AJ74" s="5">
        <f t="shared" si="55"/>
        <v>0</v>
      </c>
      <c r="AK74" s="5">
        <f t="shared" si="55"/>
        <v>0</v>
      </c>
    </row>
    <row r="75" spans="1:46" hidden="1">
      <c r="A75" s="6" t="s">
        <v>7</v>
      </c>
      <c r="C75" s="18">
        <f t="shared" ref="C75:AK75" si="56">SUMIF($C$95:$PF$95, LOOKUP(C46,  $C$95:$PF$95), $C$125:$PF$125)</f>
        <v>633514.05801984807</v>
      </c>
      <c r="D75" s="5">
        <f t="shared" si="56"/>
        <v>699851.25830229023</v>
      </c>
      <c r="E75" s="5">
        <f t="shared" si="56"/>
        <v>773134.83031177439</v>
      </c>
      <c r="F75" s="5">
        <f t="shared" si="56"/>
        <v>854092.1499394268</v>
      </c>
      <c r="G75" s="5">
        <f t="shared" si="56"/>
        <v>943526.75883711607</v>
      </c>
      <c r="H75" s="5">
        <f t="shared" si="56"/>
        <v>1042326.3399678953</v>
      </c>
      <c r="I75" s="5">
        <f t="shared" si="56"/>
        <v>1151471.5283007934</v>
      </c>
      <c r="J75" s="5">
        <f t="shared" si="56"/>
        <v>1272045.6441004879</v>
      </c>
      <c r="K75" s="5">
        <f t="shared" si="56"/>
        <v>1405245.4454195902</v>
      </c>
      <c r="L75" s="5">
        <f t="shared" si="56"/>
        <v>1552393.0065173872</v>
      </c>
      <c r="M75" s="5">
        <f t="shared" si="56"/>
        <v>1714948.8401042402</v>
      </c>
      <c r="N75" s="5">
        <f t="shared" si="56"/>
        <v>1894526.3936564496</v>
      </c>
      <c r="O75" s="5">
        <f t="shared" si="56"/>
        <v>2092908.0636847145</v>
      </c>
      <c r="P75" s="5">
        <f t="shared" si="56"/>
        <v>2312062.8869057656</v>
      </c>
      <c r="Q75" s="5">
        <f t="shared" si="56"/>
        <v>2554166.0839108485</v>
      </c>
      <c r="R75" s="5">
        <f t="shared" si="56"/>
        <v>2821620.6493116785</v>
      </c>
      <c r="S75" s="5">
        <f t="shared" si="56"/>
        <v>3117081.2026568083</v>
      </c>
      <c r="T75" s="5">
        <f t="shared" si="56"/>
        <v>3443480.3368506101</v>
      </c>
      <c r="U75" s="5">
        <f t="shared" si="56"/>
        <v>3804057.7255960274</v>
      </c>
      <c r="V75" s="5">
        <f t="shared" si="56"/>
        <v>4202392.2787669497</v>
      </c>
      <c r="W75" s="5">
        <f t="shared" si="56"/>
        <v>4642437.6648682598</v>
      </c>
      <c r="X75" s="5">
        <f t="shared" si="56"/>
        <v>5128561.5531616239</v>
      </c>
      <c r="Y75" s="5">
        <f t="shared" si="56"/>
        <v>5665588.9649546798</v>
      </c>
      <c r="Z75" s="5">
        <f t="shared" si="56"/>
        <v>6258850.164336646</v>
      </c>
      <c r="AA75" s="5">
        <f t="shared" si="56"/>
        <v>6914233.5636998015</v>
      </c>
      <c r="AB75" s="5">
        <f t="shared" si="56"/>
        <v>7638244.1691603754</v>
      </c>
      <c r="AC75" s="5">
        <f t="shared" si="56"/>
        <v>8438068.14597876</v>
      </c>
      <c r="AD75" s="5">
        <f t="shared" si="56"/>
        <v>9321644.1448228955</v>
      </c>
      <c r="AE75" s="5">
        <f t="shared" si="56"/>
        <v>10297742.096823502</v>
      </c>
      <c r="AF75" s="5">
        <f t="shared" si="56"/>
        <v>11376050.259501265</v>
      </c>
      <c r="AG75" s="5">
        <f t="shared" si="56"/>
        <v>0</v>
      </c>
      <c r="AH75" s="5">
        <f t="shared" si="56"/>
        <v>0</v>
      </c>
      <c r="AI75" s="5">
        <f t="shared" si="56"/>
        <v>0</v>
      </c>
      <c r="AJ75" s="5">
        <f t="shared" si="56"/>
        <v>0</v>
      </c>
      <c r="AK75" s="5">
        <f t="shared" si="56"/>
        <v>0</v>
      </c>
    </row>
    <row r="76" spans="1:46" hidden="1">
      <c r="A76" s="6" t="s">
        <v>9</v>
      </c>
      <c r="C76" s="18">
        <f t="shared" ref="C76:AK76" si="57">SUMIF($C$95:$PF$95, LOOKUP(C46,  $C$95:$PF$95), $C$126:$PF$126)</f>
        <v>228065.06088714537</v>
      </c>
      <c r="D76" s="5">
        <f t="shared" si="57"/>
        <v>251946.45298882443</v>
      </c>
      <c r="E76" s="5">
        <f t="shared" si="57"/>
        <v>278328.53891223879</v>
      </c>
      <c r="F76" s="5">
        <f t="shared" si="57"/>
        <v>307473.17397819372</v>
      </c>
      <c r="G76" s="5">
        <f t="shared" si="57"/>
        <v>339669.63318136183</v>
      </c>
      <c r="H76" s="5">
        <f t="shared" si="57"/>
        <v>375237.48238844238</v>
      </c>
      <c r="I76" s="5">
        <f t="shared" si="57"/>
        <v>414529.75018828589</v>
      </c>
      <c r="J76" s="5">
        <f t="shared" si="57"/>
        <v>457936.4318761758</v>
      </c>
      <c r="K76" s="5">
        <f t="shared" si="57"/>
        <v>505888.36035105254</v>
      </c>
      <c r="L76" s="5">
        <f t="shared" si="57"/>
        <v>558861.48234625941</v>
      </c>
      <c r="M76" s="5">
        <f t="shared" si="57"/>
        <v>617381.58243752632</v>
      </c>
      <c r="N76" s="5">
        <f t="shared" si="57"/>
        <v>682029.50171632157</v>
      </c>
      <c r="O76" s="5">
        <f t="shared" si="57"/>
        <v>753446.9029264967</v>
      </c>
      <c r="P76" s="5">
        <f t="shared" si="57"/>
        <v>832342.63928607525</v>
      </c>
      <c r="Q76" s="5">
        <f t="shared" si="57"/>
        <v>919499.79020790523</v>
      </c>
      <c r="R76" s="5">
        <f t="shared" si="57"/>
        <v>1015783.4337522037</v>
      </c>
      <c r="S76" s="5">
        <f t="shared" si="57"/>
        <v>1122149.2329564507</v>
      </c>
      <c r="T76" s="5">
        <f t="shared" si="57"/>
        <v>1239652.9212662191</v>
      </c>
      <c r="U76" s="5">
        <f t="shared" si="57"/>
        <v>1369460.7812145695</v>
      </c>
      <c r="V76" s="5">
        <f t="shared" si="57"/>
        <v>1512861.2203561016</v>
      </c>
      <c r="W76" s="5">
        <f t="shared" si="57"/>
        <v>1671277.559352573</v>
      </c>
      <c r="X76" s="5">
        <f t="shared" si="57"/>
        <v>1846282.159138185</v>
      </c>
      <c r="Y76" s="5">
        <f t="shared" si="57"/>
        <v>2039612.0273836846</v>
      </c>
      <c r="Z76" s="5">
        <f t="shared" si="57"/>
        <v>2253186.0591611927</v>
      </c>
      <c r="AA76" s="5">
        <f t="shared" si="57"/>
        <v>2489124.0829319293</v>
      </c>
      <c r="AB76" s="5">
        <f t="shared" si="57"/>
        <v>2749767.9008977357</v>
      </c>
      <c r="AC76" s="5">
        <f t="shared" si="57"/>
        <v>3037704.5325523531</v>
      </c>
      <c r="AD76" s="5">
        <f t="shared" si="57"/>
        <v>3355791.8921362413</v>
      </c>
      <c r="AE76" s="5">
        <f t="shared" si="57"/>
        <v>3707187.154856462</v>
      </c>
      <c r="AF76" s="5">
        <f t="shared" si="57"/>
        <v>4095378.0934204557</v>
      </c>
      <c r="AG76" s="5">
        <f t="shared" si="57"/>
        <v>0</v>
      </c>
      <c r="AH76" s="5">
        <f t="shared" si="57"/>
        <v>0</v>
      </c>
      <c r="AI76" s="5">
        <f t="shared" si="57"/>
        <v>0</v>
      </c>
      <c r="AJ76" s="5">
        <f t="shared" si="57"/>
        <v>0</v>
      </c>
      <c r="AK76" s="5">
        <f t="shared" si="57"/>
        <v>0</v>
      </c>
    </row>
    <row r="77" spans="1:46" hidden="1">
      <c r="A77" s="6" t="s">
        <v>53</v>
      </c>
      <c r="C77" s="18">
        <f t="shared" ref="C77:AK77" si="58">SUMIF($C$95:$PF$95, LOOKUP(C46,  $C$95:$PF$95), $C$127:$PF$127)</f>
        <v>56192.131427009263</v>
      </c>
      <c r="D77" s="5">
        <f t="shared" si="58"/>
        <v>60443.375244578696</v>
      </c>
      <c r="E77" s="5">
        <f t="shared" si="58"/>
        <v>65004.257697706635</v>
      </c>
      <c r="F77" s="5">
        <f t="shared" si="58"/>
        <v>69895.953726522552</v>
      </c>
      <c r="G77" s="5">
        <f t="shared" si="58"/>
        <v>75140.921963127912</v>
      </c>
      <c r="H77" s="5">
        <f t="shared" si="58"/>
        <v>80762.961662500777</v>
      </c>
      <c r="I77" s="5">
        <f t="shared" si="58"/>
        <v>86787.269163309596</v>
      </c>
      <c r="J77" s="5">
        <f t="shared" si="58"/>
        <v>93240.493295599721</v>
      </c>
      <c r="K77" s="5">
        <f t="shared" si="58"/>
        <v>100150.78904695978</v>
      </c>
      <c r="L77" s="5">
        <f t="shared" si="58"/>
        <v>107547.86867870628</v>
      </c>
      <c r="M77" s="5">
        <f t="shared" si="58"/>
        <v>115463.04934700327</v>
      </c>
      <c r="N77" s="5">
        <f t="shared" si="58"/>
        <v>123929.29612859237</v>
      </c>
      <c r="O77" s="5">
        <f t="shared" si="58"/>
        <v>132981.25917463834</v>
      </c>
      <c r="P77" s="5">
        <f t="shared" si="58"/>
        <v>142655.3035165222</v>
      </c>
      <c r="Q77" s="5">
        <f t="shared" si="58"/>
        <v>152989.5298213505</v>
      </c>
      <c r="R77" s="5">
        <f t="shared" si="58"/>
        <v>164023.78413928259</v>
      </c>
      <c r="S77" s="5">
        <f t="shared" si="58"/>
        <v>175799.65439591321</v>
      </c>
      <c r="T77" s="5">
        <f t="shared" si="58"/>
        <v>188360.45105687482</v>
      </c>
      <c r="U77" s="5">
        <f t="shared" si="58"/>
        <v>201751.16902407171</v>
      </c>
      <c r="V77" s="5">
        <f t="shared" si="58"/>
        <v>216018.42740853361</v>
      </c>
      <c r="W77" s="5">
        <f t="shared" si="58"/>
        <v>231210.3833582167</v>
      </c>
      <c r="X77" s="5">
        <f t="shared" si="58"/>
        <v>247376.61559398309</v>
      </c>
      <c r="Y77" s="5">
        <f t="shared" si="58"/>
        <v>264567.9727165341</v>
      </c>
      <c r="Z77" s="5">
        <f t="shared" si="58"/>
        <v>282836.38068356935</v>
      </c>
      <c r="AA77" s="5">
        <f t="shared" si="58"/>
        <v>302234.6031112934</v>
      </c>
      <c r="AB77" s="5">
        <f t="shared" si="58"/>
        <v>322815.94721804728</v>
      </c>
      <c r="AC77" s="5">
        <f t="shared" si="58"/>
        <v>344633.90728966222</v>
      </c>
      <c r="AD77" s="5">
        <f t="shared" si="58"/>
        <v>367741.73649425717</v>
      </c>
      <c r="AE77" s="5">
        <f t="shared" si="58"/>
        <v>392191.93669546186</v>
      </c>
      <c r="AF77" s="5">
        <f t="shared" si="58"/>
        <v>418035.65459275304</v>
      </c>
      <c r="AG77" s="5">
        <f t="shared" si="58"/>
        <v>0</v>
      </c>
      <c r="AH77" s="5">
        <f t="shared" si="58"/>
        <v>0</v>
      </c>
      <c r="AI77" s="5">
        <f t="shared" si="58"/>
        <v>0</v>
      </c>
      <c r="AJ77" s="5">
        <f t="shared" si="58"/>
        <v>0</v>
      </c>
      <c r="AK77" s="5">
        <f t="shared" si="58"/>
        <v>0</v>
      </c>
    </row>
    <row r="78" spans="1:46" hidden="1">
      <c r="A78" s="6"/>
      <c r="C78" s="18"/>
    </row>
    <row r="79" spans="1:46" ht="45" hidden="1">
      <c r="A79" s="7" t="s">
        <v>54</v>
      </c>
      <c r="C79" s="18">
        <f t="shared" ref="C79:AK79" si="59">SUMIF($C$95:$PF$95, LOOKUP(C46,  $C$95:$PF$95), $C$129:$PF$129)</f>
        <v>187613.79534196621</v>
      </c>
      <c r="D79" s="5">
        <f t="shared" si="59"/>
        <v>205213.26344327495</v>
      </c>
      <c r="E79" s="5">
        <f t="shared" si="59"/>
        <v>224463.68304782695</v>
      </c>
      <c r="F79" s="5">
        <f t="shared" si="59"/>
        <v>245519.92479434665</v>
      </c>
      <c r="G79" s="5">
        <f t="shared" si="59"/>
        <v>268551.38725571753</v>
      </c>
      <c r="H79" s="5">
        <f t="shared" si="59"/>
        <v>293743.35975941544</v>
      </c>
      <c r="I79" s="5">
        <f t="shared" si="59"/>
        <v>321298.51304989791</v>
      </c>
      <c r="J79" s="5">
        <f t="shared" si="59"/>
        <v>351438.52978540893</v>
      </c>
      <c r="K79" s="5">
        <f t="shared" si="59"/>
        <v>384405.88798662979</v>
      </c>
      <c r="L79" s="5">
        <f t="shared" si="59"/>
        <v>420465.81178511516</v>
      </c>
      <c r="M79" s="5">
        <f t="shared" si="59"/>
        <v>459908.40516538854</v>
      </c>
      <c r="N79" s="5">
        <f t="shared" si="59"/>
        <v>503050.98586676351</v>
      </c>
      <c r="O79" s="5">
        <f t="shared" si="59"/>
        <v>550240.63822125469</v>
      </c>
      <c r="P79" s="5">
        <f t="shared" si="59"/>
        <v>601857.00546529272</v>
      </c>
      <c r="Q79" s="5">
        <f t="shared" si="59"/>
        <v>658315.34398954024</v>
      </c>
      <c r="R79" s="5">
        <f t="shared" si="59"/>
        <v>720069.86409840547</v>
      </c>
      <c r="S79" s="5">
        <f t="shared" si="59"/>
        <v>787617.38415584387</v>
      </c>
      <c r="T79" s="5">
        <f t="shared" si="59"/>
        <v>861501.3275152389</v>
      </c>
      <c r="U79" s="5">
        <f t="shared" si="59"/>
        <v>942316.09438887797</v>
      </c>
      <c r="V79" s="5">
        <f t="shared" si="59"/>
        <v>1030711.8438289367</v>
      </c>
      <c r="W79" s="5">
        <f t="shared" si="59"/>
        <v>1127399.7242912692</v>
      </c>
      <c r="X79" s="5">
        <f t="shared" si="59"/>
        <v>1233157.5948621556</v>
      </c>
      <c r="Y79" s="5">
        <f t="shared" si="59"/>
        <v>1348836.2831755865</v>
      </c>
      <c r="Z79" s="5">
        <f t="shared" si="59"/>
        <v>1475366.4303663494</v>
      </c>
      <c r="AA79" s="5">
        <f t="shared" si="59"/>
        <v>1613765.9781269303</v>
      </c>
      <c r="AB79" s="5">
        <f t="shared" si="59"/>
        <v>1765148.3581019985</v>
      </c>
      <c r="AC79" s="5">
        <f t="shared" si="59"/>
        <v>1930731.4495045785</v>
      </c>
      <c r="AD79" s="5">
        <f t="shared" si="59"/>
        <v>2111847.3770184047</v>
      </c>
      <c r="AE79" s="5">
        <f t="shared" si="59"/>
        <v>2309953.2278111065</v>
      </c>
      <c r="AF79" s="5">
        <f t="shared" si="59"/>
        <v>2526642.7738771411</v>
      </c>
      <c r="AG79" s="5">
        <f t="shared" si="59"/>
        <v>0</v>
      </c>
      <c r="AH79" s="5">
        <f t="shared" si="59"/>
        <v>0</v>
      </c>
      <c r="AI79" s="5">
        <f t="shared" si="59"/>
        <v>0</v>
      </c>
      <c r="AJ79" s="5">
        <f t="shared" si="59"/>
        <v>0</v>
      </c>
      <c r="AK79" s="5">
        <f t="shared" si="59"/>
        <v>0</v>
      </c>
    </row>
    <row r="80" spans="1:46" hidden="1">
      <c r="A80" s="6"/>
      <c r="C80" s="18"/>
    </row>
    <row r="81" spans="1:464" hidden="1">
      <c r="A81" s="6" t="s">
        <v>55</v>
      </c>
      <c r="C81" s="18">
        <f t="shared" ref="C81:AK81" si="60">SUMIF($C$95:$PF$95, LOOKUP(C46,  $C$95:$PF$95), $C$131:$PF$131)</f>
        <v>-12480.997649965868</v>
      </c>
      <c r="D81" s="5">
        <f t="shared" si="60"/>
        <v>-11962.80252760258</v>
      </c>
      <c r="E81" s="5">
        <f t="shared" si="60"/>
        <v>-11260.311769434062</v>
      </c>
      <c r="F81" s="5">
        <f t="shared" si="60"/>
        <v>-10345.446638645717</v>
      </c>
      <c r="G81" s="5">
        <f t="shared" si="60"/>
        <v>-9186.6481596307131</v>
      </c>
      <c r="H81" s="5">
        <f t="shared" si="60"/>
        <v>-7748.4855759917036</v>
      </c>
      <c r="I81" s="5">
        <f t="shared" si="60"/>
        <v>-5991.2232194007865</v>
      </c>
      <c r="J81" s="5">
        <f t="shared" si="60"/>
        <v>-3870.3415412681206</v>
      </c>
      <c r="K81" s="5">
        <f t="shared" si="60"/>
        <v>-1336.0076378343138</v>
      </c>
      <c r="L81" s="5">
        <f t="shared" si="60"/>
        <v>1667.5098628416708</v>
      </c>
      <c r="M81" s="5">
        <f t="shared" si="60"/>
        <v>5202.4871903285202</v>
      </c>
      <c r="N81" s="5">
        <f t="shared" si="60"/>
        <v>9338.4592917333939</v>
      </c>
      <c r="O81" s="5">
        <f t="shared" si="60"/>
        <v>14153.007965322713</v>
      </c>
      <c r="P81" s="5">
        <f t="shared" si="60"/>
        <v>19732.631738872216</v>
      </c>
      <c r="Q81" s="5">
        <f t="shared" si="60"/>
        <v>26173.705695618017</v>
      </c>
      <c r="R81" s="5">
        <f t="shared" si="60"/>
        <v>33583.540252626131</v>
      </c>
      <c r="S81" s="5">
        <f t="shared" si="60"/>
        <v>42081.548775023519</v>
      </c>
      <c r="T81" s="5">
        <f t="shared" si="60"/>
        <v>51800.534872012904</v>
      </c>
      <c r="U81" s="5">
        <f t="shared" si="60"/>
        <v>62888.111274774797</v>
      </c>
      <c r="V81" s="5">
        <f t="shared" si="60"/>
        <v>75508.263350795125</v>
      </c>
      <c r="W81" s="5">
        <f t="shared" si="60"/>
        <v>89843.071573199442</v>
      </c>
      <c r="X81" s="5">
        <f t="shared" si="60"/>
        <v>106094.60864750133</v>
      </c>
      <c r="Y81" s="5">
        <f t="shared" si="60"/>
        <v>124487.02851293804</v>
      </c>
      <c r="Z81" s="5">
        <f t="shared" si="60"/>
        <v>145268.86609336562</v>
      </c>
      <c r="AA81" s="5">
        <f t="shared" si="60"/>
        <v>168715.56848679096</v>
      </c>
      <c r="AB81" s="5">
        <f t="shared" si="60"/>
        <v>195132.28026745719</v>
      </c>
      <c r="AC81" s="5">
        <f t="shared" si="60"/>
        <v>224856.90774568642</v>
      </c>
      <c r="AD81" s="5">
        <f t="shared" si="60"/>
        <v>258263.48940563016</v>
      </c>
      <c r="AE81" s="5">
        <f t="shared" si="60"/>
        <v>295765.90233834513</v>
      </c>
      <c r="AF81" s="5">
        <f t="shared" si="60"/>
        <v>337821.9373276101</v>
      </c>
      <c r="AG81" s="5">
        <f t="shared" si="60"/>
        <v>0</v>
      </c>
      <c r="AH81" s="5">
        <f t="shared" si="60"/>
        <v>0</v>
      </c>
      <c r="AI81" s="5">
        <f t="shared" si="60"/>
        <v>0</v>
      </c>
      <c r="AJ81" s="5">
        <f t="shared" si="60"/>
        <v>0</v>
      </c>
      <c r="AK81" s="5">
        <f t="shared" si="60"/>
        <v>0</v>
      </c>
    </row>
    <row r="82" spans="1:464" hidden="1">
      <c r="A82" s="7" t="s">
        <v>56</v>
      </c>
      <c r="C82" s="18">
        <f>SUMIF($C$95:$PF$95, LOOKUP(C46,  $C$95:$PF$95), $C$132:$PF$132)</f>
        <v>-81557.684288790493</v>
      </c>
      <c r="D82" s="5">
        <f>IF(D46&lt;=$B$92, C82+D81, 0)</f>
        <v>-93520.486816393066</v>
      </c>
      <c r="E82" s="5">
        <f t="shared" ref="E82:AK82" si="61">IF(E46&lt;=$B$92, D82+E81, 0)</f>
        <v>-104780.79858582713</v>
      </c>
      <c r="F82" s="5">
        <f>IF(F46&lt;=$B$92, E82+F81, 0)</f>
        <v>-115126.24522447285</v>
      </c>
      <c r="G82" s="5">
        <f t="shared" si="61"/>
        <v>-124312.89338410356</v>
      </c>
      <c r="H82" s="5">
        <f t="shared" si="61"/>
        <v>-132061.37896009526</v>
      </c>
      <c r="I82" s="5">
        <f t="shared" si="61"/>
        <v>-138052.60217949605</v>
      </c>
      <c r="J82" s="5">
        <f t="shared" si="61"/>
        <v>-141922.94372076419</v>
      </c>
      <c r="K82" s="5">
        <f t="shared" si="61"/>
        <v>-143258.95135859851</v>
      </c>
      <c r="L82" s="5">
        <f t="shared" si="61"/>
        <v>-141591.44149575685</v>
      </c>
      <c r="M82" s="5">
        <f t="shared" si="61"/>
        <v>-136388.95430542834</v>
      </c>
      <c r="N82" s="5">
        <f t="shared" si="61"/>
        <v>-127050.49501369495</v>
      </c>
      <c r="O82" s="5">
        <f t="shared" si="61"/>
        <v>-112897.48704837223</v>
      </c>
      <c r="P82" s="5">
        <f t="shared" si="61"/>
        <v>-93164.85530950001</v>
      </c>
      <c r="Q82" s="5">
        <f t="shared" si="61"/>
        <v>-66991.149613881993</v>
      </c>
      <c r="R82" s="5">
        <f t="shared" si="61"/>
        <v>-33407.609361255862</v>
      </c>
      <c r="S82" s="5">
        <f t="shared" si="61"/>
        <v>8673.9394137676572</v>
      </c>
      <c r="T82" s="5">
        <f t="shared" si="61"/>
        <v>60474.474285780561</v>
      </c>
      <c r="U82" s="5">
        <f t="shared" si="61"/>
        <v>123362.58556055537</v>
      </c>
      <c r="V82" s="5">
        <f t="shared" si="61"/>
        <v>198870.84891135048</v>
      </c>
      <c r="W82" s="5">
        <f t="shared" si="61"/>
        <v>288713.92048454995</v>
      </c>
      <c r="X82" s="5">
        <f t="shared" si="61"/>
        <v>394808.52913205128</v>
      </c>
      <c r="Y82" s="5">
        <f t="shared" si="61"/>
        <v>519295.55764498934</v>
      </c>
      <c r="Z82" s="5">
        <f t="shared" si="61"/>
        <v>664564.42373835493</v>
      </c>
      <c r="AA82" s="5">
        <f t="shared" si="61"/>
        <v>833279.99222514592</v>
      </c>
      <c r="AB82" s="5">
        <f t="shared" si="61"/>
        <v>1028412.2724926032</v>
      </c>
      <c r="AC82" s="5">
        <f t="shared" si="61"/>
        <v>1253269.1802382895</v>
      </c>
      <c r="AD82" s="5">
        <f t="shared" si="61"/>
        <v>1511532.6696439197</v>
      </c>
      <c r="AE82" s="5">
        <f t="shared" si="61"/>
        <v>1807298.5719822648</v>
      </c>
      <c r="AF82" s="5">
        <f t="shared" si="61"/>
        <v>2145120.5093098748</v>
      </c>
      <c r="AG82" s="5">
        <f t="shared" si="61"/>
        <v>0</v>
      </c>
      <c r="AH82" s="5">
        <f t="shared" si="61"/>
        <v>0</v>
      </c>
      <c r="AI82" s="5">
        <f t="shared" si="61"/>
        <v>0</v>
      </c>
      <c r="AJ82" s="5">
        <f t="shared" si="61"/>
        <v>0</v>
      </c>
      <c r="AK82" s="5">
        <f t="shared" si="61"/>
        <v>0</v>
      </c>
    </row>
    <row r="83" spans="1:464" hidden="1">
      <c r="C83" s="18"/>
    </row>
    <row r="84" spans="1:464" ht="30" hidden="1">
      <c r="A84" s="13" t="s">
        <v>57</v>
      </c>
      <c r="B84" s="5">
        <f>B23</f>
        <v>2000000</v>
      </c>
      <c r="C84" s="18">
        <f>IF(C46&lt;=$B$92, $B$84+C82, 0)</f>
        <v>1918442.3157112096</v>
      </c>
      <c r="D84" s="5">
        <f t="shared" ref="D84:AK84" si="62">IF(D46&lt;=$B$92, $B$84+D82, 0)</f>
        <v>1906479.513183607</v>
      </c>
      <c r="E84" s="5">
        <f t="shared" si="62"/>
        <v>1895219.2014141728</v>
      </c>
      <c r="F84" s="5">
        <f t="shared" si="62"/>
        <v>1884873.7547755272</v>
      </c>
      <c r="G84" s="5">
        <f t="shared" si="62"/>
        <v>1875687.1066158963</v>
      </c>
      <c r="H84" s="5">
        <f t="shared" si="62"/>
        <v>1867938.6210399047</v>
      </c>
      <c r="I84" s="5">
        <f t="shared" si="62"/>
        <v>1861947.3978205039</v>
      </c>
      <c r="J84" s="5">
        <f t="shared" si="62"/>
        <v>1858077.0562792358</v>
      </c>
      <c r="K84" s="5">
        <f t="shared" si="62"/>
        <v>1856741.0486414016</v>
      </c>
      <c r="L84" s="5">
        <f t="shared" si="62"/>
        <v>1858408.5585042431</v>
      </c>
      <c r="M84" s="5">
        <f t="shared" si="62"/>
        <v>1863611.0456945717</v>
      </c>
      <c r="N84" s="5">
        <f t="shared" si="62"/>
        <v>1872949.504986305</v>
      </c>
      <c r="O84" s="5">
        <f t="shared" si="62"/>
        <v>1887102.5129516278</v>
      </c>
      <c r="P84" s="5">
        <f t="shared" si="62"/>
        <v>1906835.1446905001</v>
      </c>
      <c r="Q84" s="5">
        <f t="shared" si="62"/>
        <v>1933008.8503861181</v>
      </c>
      <c r="R84" s="5">
        <f t="shared" si="62"/>
        <v>1966592.3906387442</v>
      </c>
      <c r="S84" s="5">
        <f t="shared" si="62"/>
        <v>2008673.9394137678</v>
      </c>
      <c r="T84" s="5">
        <f t="shared" si="62"/>
        <v>2060474.4742857805</v>
      </c>
      <c r="U84" s="5">
        <f t="shared" si="62"/>
        <v>2123362.5855605556</v>
      </c>
      <c r="V84" s="5">
        <f t="shared" si="62"/>
        <v>2198870.8489113506</v>
      </c>
      <c r="W84" s="5">
        <f t="shared" si="62"/>
        <v>2288713.9204845498</v>
      </c>
      <c r="X84" s="5">
        <f t="shared" si="62"/>
        <v>2394808.5291320514</v>
      </c>
      <c r="Y84" s="5">
        <f t="shared" si="62"/>
        <v>2519295.5576449893</v>
      </c>
      <c r="Z84" s="5">
        <f t="shared" si="62"/>
        <v>2664564.4237383548</v>
      </c>
      <c r="AA84" s="5">
        <f t="shared" si="62"/>
        <v>2833279.9922251459</v>
      </c>
      <c r="AB84" s="5">
        <f t="shared" si="62"/>
        <v>3028412.2724926034</v>
      </c>
      <c r="AC84" s="5">
        <f t="shared" si="62"/>
        <v>3253269.1802382898</v>
      </c>
      <c r="AD84" s="5">
        <f t="shared" si="62"/>
        <v>3511532.6696439199</v>
      </c>
      <c r="AE84" s="5">
        <f t="shared" si="62"/>
        <v>3807298.5719822645</v>
      </c>
      <c r="AF84" s="5">
        <f t="shared" si="62"/>
        <v>4145120.5093098748</v>
      </c>
      <c r="AG84" s="5">
        <f t="shared" si="62"/>
        <v>0</v>
      </c>
      <c r="AH84" s="5">
        <f t="shared" si="62"/>
        <v>0</v>
      </c>
      <c r="AI84" s="5">
        <f t="shared" si="62"/>
        <v>0</v>
      </c>
      <c r="AJ84" s="5">
        <f t="shared" si="62"/>
        <v>0</v>
      </c>
      <c r="AK84" s="5">
        <f t="shared" si="62"/>
        <v>0</v>
      </c>
    </row>
    <row r="85" spans="1:464" hidden="1">
      <c r="A85" s="13"/>
      <c r="C85" s="18"/>
    </row>
    <row r="86" spans="1:464" s="21" customFormat="1" hidden="1">
      <c r="A86" s="20" t="s">
        <v>58</v>
      </c>
      <c r="B86" s="5"/>
      <c r="C86" s="18">
        <f>(C68-C84)/C46</f>
        <v>-584681.61686713086</v>
      </c>
      <c r="D86" s="5">
        <f t="shared" ref="D86:AK86" si="63">(D68-D84)/D46</f>
        <v>-234474.27403781842</v>
      </c>
      <c r="E86" s="5">
        <f t="shared" si="63"/>
        <v>-92663.177824978789</v>
      </c>
      <c r="F86" s="5">
        <f>(F68-F84)/F46</f>
        <v>-4144.7077448629425</v>
      </c>
      <c r="G86" s="5">
        <f t="shared" si="63"/>
        <v>63095.193813823535</v>
      </c>
      <c r="H86" s="5">
        <f t="shared" si="63"/>
        <v>120651.50359020289</v>
      </c>
      <c r="I86" s="5">
        <f t="shared" si="63"/>
        <v>173563.42170456224</v>
      </c>
      <c r="J86" s="5">
        <f t="shared" si="63"/>
        <v>224417.28011448067</v>
      </c>
      <c r="K86" s="5">
        <f t="shared" si="63"/>
        <v>274714.65509867761</v>
      </c>
      <c r="L86" s="5">
        <f t="shared" si="63"/>
        <v>325420.08480615588</v>
      </c>
      <c r="M86" s="5">
        <f t="shared" si="63"/>
        <v>377210.50551592559</v>
      </c>
      <c r="N86" s="5">
        <f t="shared" si="63"/>
        <v>430600.44883815007</v>
      </c>
      <c r="O86" s="5">
        <f t="shared" si="63"/>
        <v>486009.94363642955</v>
      </c>
      <c r="P86" s="5">
        <f t="shared" si="63"/>
        <v>543803.81746478495</v>
      </c>
      <c r="Q86" s="5">
        <f t="shared" si="63"/>
        <v>604315.79319721658</v>
      </c>
      <c r="R86" s="5">
        <f t="shared" si="63"/>
        <v>667864.08366448677</v>
      </c>
      <c r="S86" s="5">
        <f t="shared" si="63"/>
        <v>734762.03805405553</v>
      </c>
      <c r="T86" s="5">
        <f t="shared" si="63"/>
        <v>805325.8198510384</v>
      </c>
      <c r="U86" s="5">
        <f t="shared" si="63"/>
        <v>877433.0373791625</v>
      </c>
      <c r="V86" s="5">
        <f t="shared" si="63"/>
        <v>949268.76423831691</v>
      </c>
      <c r="W86" s="5">
        <f t="shared" si="63"/>
        <v>1014169.1064885686</v>
      </c>
      <c r="X86" s="5">
        <f t="shared" si="63"/>
        <v>1080344.9923691854</v>
      </c>
      <c r="Y86" s="5">
        <f t="shared" si="63"/>
        <v>1148084.8295120765</v>
      </c>
      <c r="Z86" s="5">
        <f t="shared" si="63"/>
        <v>1217656.5746607187</v>
      </c>
      <c r="AA86" s="5">
        <f t="shared" si="63"/>
        <v>1289313.3831163058</v>
      </c>
      <c r="AB86" s="5">
        <f t="shared" si="63"/>
        <v>1363298.0305638001</v>
      </c>
      <c r="AC86" s="5">
        <f t="shared" si="63"/>
        <v>1439846.427973242</v>
      </c>
      <c r="AD86" s="5">
        <f t="shared" si="63"/>
        <v>1519190.4585613816</v>
      </c>
      <c r="AE86" s="5">
        <f t="shared" si="63"/>
        <v>1601560.3025228474</v>
      </c>
      <c r="AF86" s="5">
        <f t="shared" si="63"/>
        <v>1687186.3709164846</v>
      </c>
      <c r="AG86" s="5">
        <f t="shared" si="63"/>
        <v>1.5209098496744709E-10</v>
      </c>
      <c r="AH86" s="5">
        <f t="shared" si="63"/>
        <v>1.4733814168721437E-10</v>
      </c>
      <c r="AI86" s="5">
        <f t="shared" si="63"/>
        <v>1.4287334951487455E-10</v>
      </c>
      <c r="AJ86" s="5">
        <f t="shared" si="63"/>
        <v>1.3867119217620176E-10</v>
      </c>
      <c r="AK86" s="5">
        <f t="shared" si="63"/>
        <v>1.3470915811402458E-10</v>
      </c>
    </row>
    <row r="87" spans="1:464" hidden="1">
      <c r="A87" s="13"/>
      <c r="C87" s="18"/>
    </row>
    <row r="88" spans="1:464" hidden="1">
      <c r="A88" s="13"/>
      <c r="C88" s="18"/>
    </row>
    <row r="89" spans="1:464" hidden="1">
      <c r="A89" s="13"/>
      <c r="C89" s="18"/>
    </row>
    <row r="90" spans="1:464" hidden="1">
      <c r="C90" s="18"/>
    </row>
    <row r="91" spans="1:464" hidden="1">
      <c r="A91" s="16" t="s">
        <v>59</v>
      </c>
      <c r="C91" s="18"/>
    </row>
    <row r="92" spans="1:464" hidden="1">
      <c r="A92" s="13" t="s">
        <v>60</v>
      </c>
      <c r="B92" s="4">
        <v>30</v>
      </c>
      <c r="C92" s="18"/>
    </row>
    <row r="93" spans="1:464" hidden="1">
      <c r="C93" s="18"/>
    </row>
    <row r="94" spans="1:464" s="11" customFormat="1" hidden="1">
      <c r="A94" s="13" t="s">
        <v>61</v>
      </c>
      <c r="B94" s="10">
        <v>0</v>
      </c>
      <c r="C94" s="19">
        <v>1</v>
      </c>
      <c r="D94" s="10">
        <f>C94+1</f>
        <v>2</v>
      </c>
      <c r="E94" s="10">
        <f t="shared" ref="E94:BP94" si="64">D94+1</f>
        <v>3</v>
      </c>
      <c r="F94" s="10">
        <f>E94+1</f>
        <v>4</v>
      </c>
      <c r="G94" s="10">
        <f t="shared" si="64"/>
        <v>5</v>
      </c>
      <c r="H94" s="10">
        <f t="shared" si="64"/>
        <v>6</v>
      </c>
      <c r="I94" s="10">
        <f t="shared" si="64"/>
        <v>7</v>
      </c>
      <c r="J94" s="10">
        <f t="shared" si="64"/>
        <v>8</v>
      </c>
      <c r="K94" s="10">
        <f t="shared" si="64"/>
        <v>9</v>
      </c>
      <c r="L94" s="10">
        <f t="shared" si="64"/>
        <v>10</v>
      </c>
      <c r="M94" s="10">
        <f t="shared" si="64"/>
        <v>11</v>
      </c>
      <c r="N94" s="10">
        <f t="shared" si="64"/>
        <v>12</v>
      </c>
      <c r="O94" s="10">
        <f t="shared" si="64"/>
        <v>13</v>
      </c>
      <c r="P94" s="10">
        <f t="shared" si="64"/>
        <v>14</v>
      </c>
      <c r="Q94" s="10">
        <f t="shared" si="64"/>
        <v>15</v>
      </c>
      <c r="R94" s="10">
        <f t="shared" si="64"/>
        <v>16</v>
      </c>
      <c r="S94" s="10">
        <f t="shared" si="64"/>
        <v>17</v>
      </c>
      <c r="T94" s="10">
        <f t="shared" si="64"/>
        <v>18</v>
      </c>
      <c r="U94" s="10">
        <f t="shared" si="64"/>
        <v>19</v>
      </c>
      <c r="V94" s="10">
        <f t="shared" si="64"/>
        <v>20</v>
      </c>
      <c r="W94" s="10">
        <f t="shared" si="64"/>
        <v>21</v>
      </c>
      <c r="X94" s="10">
        <f t="shared" si="64"/>
        <v>22</v>
      </c>
      <c r="Y94" s="10">
        <f t="shared" si="64"/>
        <v>23</v>
      </c>
      <c r="Z94" s="10">
        <f t="shared" si="64"/>
        <v>24</v>
      </c>
      <c r="AA94" s="10">
        <f t="shared" si="64"/>
        <v>25</v>
      </c>
      <c r="AB94" s="10">
        <f t="shared" si="64"/>
        <v>26</v>
      </c>
      <c r="AC94" s="10">
        <f t="shared" si="64"/>
        <v>27</v>
      </c>
      <c r="AD94" s="10">
        <f t="shared" si="64"/>
        <v>28</v>
      </c>
      <c r="AE94" s="10">
        <f t="shared" si="64"/>
        <v>29</v>
      </c>
      <c r="AF94" s="10">
        <f t="shared" si="64"/>
        <v>30</v>
      </c>
      <c r="AG94" s="10">
        <f t="shared" si="64"/>
        <v>31</v>
      </c>
      <c r="AH94" s="10">
        <f t="shared" si="64"/>
        <v>32</v>
      </c>
      <c r="AI94" s="10">
        <f t="shared" si="64"/>
        <v>33</v>
      </c>
      <c r="AJ94" s="10">
        <f t="shared" si="64"/>
        <v>34</v>
      </c>
      <c r="AK94" s="10">
        <f t="shared" si="64"/>
        <v>35</v>
      </c>
      <c r="AL94" s="10">
        <f t="shared" si="64"/>
        <v>36</v>
      </c>
      <c r="AM94" s="10">
        <f t="shared" si="64"/>
        <v>37</v>
      </c>
      <c r="AN94" s="10">
        <f t="shared" si="64"/>
        <v>38</v>
      </c>
      <c r="AO94" s="10">
        <f t="shared" si="64"/>
        <v>39</v>
      </c>
      <c r="AP94" s="10">
        <f t="shared" si="64"/>
        <v>40</v>
      </c>
      <c r="AQ94" s="10">
        <f t="shared" si="64"/>
        <v>41</v>
      </c>
      <c r="AR94" s="10">
        <f t="shared" si="64"/>
        <v>42</v>
      </c>
      <c r="AS94" s="10">
        <f t="shared" si="64"/>
        <v>43</v>
      </c>
      <c r="AT94" s="10">
        <f t="shared" si="64"/>
        <v>44</v>
      </c>
      <c r="AU94" s="10">
        <f t="shared" si="64"/>
        <v>45</v>
      </c>
      <c r="AV94" s="10">
        <f t="shared" si="64"/>
        <v>46</v>
      </c>
      <c r="AW94" s="10">
        <f t="shared" si="64"/>
        <v>47</v>
      </c>
      <c r="AX94" s="10">
        <f t="shared" si="64"/>
        <v>48</v>
      </c>
      <c r="AY94" s="10">
        <f t="shared" si="64"/>
        <v>49</v>
      </c>
      <c r="AZ94" s="10">
        <f t="shared" si="64"/>
        <v>50</v>
      </c>
      <c r="BA94" s="10">
        <f t="shared" si="64"/>
        <v>51</v>
      </c>
      <c r="BB94" s="10">
        <f t="shared" si="64"/>
        <v>52</v>
      </c>
      <c r="BC94" s="10">
        <f t="shared" si="64"/>
        <v>53</v>
      </c>
      <c r="BD94" s="10">
        <f t="shared" si="64"/>
        <v>54</v>
      </c>
      <c r="BE94" s="10">
        <f t="shared" si="64"/>
        <v>55</v>
      </c>
      <c r="BF94" s="10">
        <f t="shared" si="64"/>
        <v>56</v>
      </c>
      <c r="BG94" s="10">
        <f t="shared" si="64"/>
        <v>57</v>
      </c>
      <c r="BH94" s="10">
        <f t="shared" si="64"/>
        <v>58</v>
      </c>
      <c r="BI94" s="10">
        <f t="shared" si="64"/>
        <v>59</v>
      </c>
      <c r="BJ94" s="10">
        <f t="shared" si="64"/>
        <v>60</v>
      </c>
      <c r="BK94" s="10">
        <f t="shared" si="64"/>
        <v>61</v>
      </c>
      <c r="BL94" s="10">
        <f t="shared" si="64"/>
        <v>62</v>
      </c>
      <c r="BM94" s="10">
        <f t="shared" si="64"/>
        <v>63</v>
      </c>
      <c r="BN94" s="10">
        <f t="shared" si="64"/>
        <v>64</v>
      </c>
      <c r="BO94" s="10">
        <f t="shared" si="64"/>
        <v>65</v>
      </c>
      <c r="BP94" s="10">
        <f t="shared" si="64"/>
        <v>66</v>
      </c>
      <c r="BQ94" s="10">
        <f t="shared" ref="BQ94:EB94" si="65">BP94+1</f>
        <v>67</v>
      </c>
      <c r="BR94" s="10">
        <f t="shared" si="65"/>
        <v>68</v>
      </c>
      <c r="BS94" s="10">
        <f t="shared" si="65"/>
        <v>69</v>
      </c>
      <c r="BT94" s="10">
        <f t="shared" si="65"/>
        <v>70</v>
      </c>
      <c r="BU94" s="10">
        <f t="shared" si="65"/>
        <v>71</v>
      </c>
      <c r="BV94" s="10">
        <f t="shared" si="65"/>
        <v>72</v>
      </c>
      <c r="BW94" s="10">
        <f t="shared" si="65"/>
        <v>73</v>
      </c>
      <c r="BX94" s="10">
        <f t="shared" si="65"/>
        <v>74</v>
      </c>
      <c r="BY94" s="10">
        <f t="shared" si="65"/>
        <v>75</v>
      </c>
      <c r="BZ94" s="10">
        <f t="shared" si="65"/>
        <v>76</v>
      </c>
      <c r="CA94" s="10">
        <f t="shared" si="65"/>
        <v>77</v>
      </c>
      <c r="CB94" s="10">
        <f t="shared" si="65"/>
        <v>78</v>
      </c>
      <c r="CC94" s="10">
        <f t="shared" si="65"/>
        <v>79</v>
      </c>
      <c r="CD94" s="10">
        <f t="shared" si="65"/>
        <v>80</v>
      </c>
      <c r="CE94" s="10">
        <f t="shared" si="65"/>
        <v>81</v>
      </c>
      <c r="CF94" s="10">
        <f t="shared" si="65"/>
        <v>82</v>
      </c>
      <c r="CG94" s="10">
        <f t="shared" si="65"/>
        <v>83</v>
      </c>
      <c r="CH94" s="10">
        <f t="shared" si="65"/>
        <v>84</v>
      </c>
      <c r="CI94" s="10">
        <f t="shared" si="65"/>
        <v>85</v>
      </c>
      <c r="CJ94" s="10">
        <f t="shared" si="65"/>
        <v>86</v>
      </c>
      <c r="CK94" s="10">
        <f t="shared" si="65"/>
        <v>87</v>
      </c>
      <c r="CL94" s="10">
        <f t="shared" si="65"/>
        <v>88</v>
      </c>
      <c r="CM94" s="10">
        <f t="shared" si="65"/>
        <v>89</v>
      </c>
      <c r="CN94" s="10">
        <f t="shared" si="65"/>
        <v>90</v>
      </c>
      <c r="CO94" s="10">
        <f t="shared" si="65"/>
        <v>91</v>
      </c>
      <c r="CP94" s="10">
        <f t="shared" si="65"/>
        <v>92</v>
      </c>
      <c r="CQ94" s="10">
        <f t="shared" si="65"/>
        <v>93</v>
      </c>
      <c r="CR94" s="10">
        <f t="shared" si="65"/>
        <v>94</v>
      </c>
      <c r="CS94" s="10">
        <f t="shared" si="65"/>
        <v>95</v>
      </c>
      <c r="CT94" s="10">
        <f t="shared" si="65"/>
        <v>96</v>
      </c>
      <c r="CU94" s="10">
        <f t="shared" si="65"/>
        <v>97</v>
      </c>
      <c r="CV94" s="10">
        <f t="shared" si="65"/>
        <v>98</v>
      </c>
      <c r="CW94" s="10">
        <f t="shared" si="65"/>
        <v>99</v>
      </c>
      <c r="CX94" s="10">
        <f t="shared" si="65"/>
        <v>100</v>
      </c>
      <c r="CY94" s="10">
        <f t="shared" si="65"/>
        <v>101</v>
      </c>
      <c r="CZ94" s="10">
        <f t="shared" si="65"/>
        <v>102</v>
      </c>
      <c r="DA94" s="10">
        <f t="shared" si="65"/>
        <v>103</v>
      </c>
      <c r="DB94" s="10">
        <f t="shared" si="65"/>
        <v>104</v>
      </c>
      <c r="DC94" s="10">
        <f t="shared" si="65"/>
        <v>105</v>
      </c>
      <c r="DD94" s="10">
        <f t="shared" si="65"/>
        <v>106</v>
      </c>
      <c r="DE94" s="10">
        <f t="shared" si="65"/>
        <v>107</v>
      </c>
      <c r="DF94" s="10">
        <f t="shared" si="65"/>
        <v>108</v>
      </c>
      <c r="DG94" s="10">
        <f t="shared" si="65"/>
        <v>109</v>
      </c>
      <c r="DH94" s="10">
        <f t="shared" si="65"/>
        <v>110</v>
      </c>
      <c r="DI94" s="10">
        <f t="shared" si="65"/>
        <v>111</v>
      </c>
      <c r="DJ94" s="10">
        <f t="shared" si="65"/>
        <v>112</v>
      </c>
      <c r="DK94" s="10">
        <f t="shared" si="65"/>
        <v>113</v>
      </c>
      <c r="DL94" s="10">
        <f t="shared" si="65"/>
        <v>114</v>
      </c>
      <c r="DM94" s="10">
        <f t="shared" si="65"/>
        <v>115</v>
      </c>
      <c r="DN94" s="10">
        <f t="shared" si="65"/>
        <v>116</v>
      </c>
      <c r="DO94" s="10">
        <f t="shared" si="65"/>
        <v>117</v>
      </c>
      <c r="DP94" s="10">
        <f t="shared" si="65"/>
        <v>118</v>
      </c>
      <c r="DQ94" s="10">
        <f t="shared" si="65"/>
        <v>119</v>
      </c>
      <c r="DR94" s="10">
        <f t="shared" si="65"/>
        <v>120</v>
      </c>
      <c r="DS94" s="10">
        <f t="shared" si="65"/>
        <v>121</v>
      </c>
      <c r="DT94" s="10">
        <f t="shared" si="65"/>
        <v>122</v>
      </c>
      <c r="DU94" s="10">
        <f t="shared" si="65"/>
        <v>123</v>
      </c>
      <c r="DV94" s="10">
        <f t="shared" si="65"/>
        <v>124</v>
      </c>
      <c r="DW94" s="10">
        <f t="shared" si="65"/>
        <v>125</v>
      </c>
      <c r="DX94" s="10">
        <f t="shared" si="65"/>
        <v>126</v>
      </c>
      <c r="DY94" s="10">
        <f t="shared" si="65"/>
        <v>127</v>
      </c>
      <c r="DZ94" s="10">
        <f t="shared" si="65"/>
        <v>128</v>
      </c>
      <c r="EA94" s="10">
        <f t="shared" si="65"/>
        <v>129</v>
      </c>
      <c r="EB94" s="10">
        <f t="shared" si="65"/>
        <v>130</v>
      </c>
      <c r="EC94" s="10">
        <f t="shared" ref="EC94:GN94" si="66">EB94+1</f>
        <v>131</v>
      </c>
      <c r="ED94" s="10">
        <f t="shared" si="66"/>
        <v>132</v>
      </c>
      <c r="EE94" s="10">
        <f t="shared" si="66"/>
        <v>133</v>
      </c>
      <c r="EF94" s="10">
        <f t="shared" si="66"/>
        <v>134</v>
      </c>
      <c r="EG94" s="10">
        <f t="shared" si="66"/>
        <v>135</v>
      </c>
      <c r="EH94" s="10">
        <f t="shared" si="66"/>
        <v>136</v>
      </c>
      <c r="EI94" s="10">
        <f t="shared" si="66"/>
        <v>137</v>
      </c>
      <c r="EJ94" s="10">
        <f t="shared" si="66"/>
        <v>138</v>
      </c>
      <c r="EK94" s="10">
        <f t="shared" si="66"/>
        <v>139</v>
      </c>
      <c r="EL94" s="10">
        <f t="shared" si="66"/>
        <v>140</v>
      </c>
      <c r="EM94" s="10">
        <f t="shared" si="66"/>
        <v>141</v>
      </c>
      <c r="EN94" s="10">
        <f t="shared" si="66"/>
        <v>142</v>
      </c>
      <c r="EO94" s="10">
        <f t="shared" si="66"/>
        <v>143</v>
      </c>
      <c r="EP94" s="10">
        <f t="shared" si="66"/>
        <v>144</v>
      </c>
      <c r="EQ94" s="10">
        <f t="shared" si="66"/>
        <v>145</v>
      </c>
      <c r="ER94" s="10">
        <f t="shared" si="66"/>
        <v>146</v>
      </c>
      <c r="ES94" s="10">
        <f t="shared" si="66"/>
        <v>147</v>
      </c>
      <c r="ET94" s="10">
        <f t="shared" si="66"/>
        <v>148</v>
      </c>
      <c r="EU94" s="10">
        <f t="shared" si="66"/>
        <v>149</v>
      </c>
      <c r="EV94" s="10">
        <f t="shared" si="66"/>
        <v>150</v>
      </c>
      <c r="EW94" s="10">
        <f t="shared" si="66"/>
        <v>151</v>
      </c>
      <c r="EX94" s="10">
        <f t="shared" si="66"/>
        <v>152</v>
      </c>
      <c r="EY94" s="10">
        <f t="shared" si="66"/>
        <v>153</v>
      </c>
      <c r="EZ94" s="10">
        <f t="shared" si="66"/>
        <v>154</v>
      </c>
      <c r="FA94" s="10">
        <f t="shared" si="66"/>
        <v>155</v>
      </c>
      <c r="FB94" s="10">
        <f t="shared" si="66"/>
        <v>156</v>
      </c>
      <c r="FC94" s="10">
        <f t="shared" si="66"/>
        <v>157</v>
      </c>
      <c r="FD94" s="10">
        <f t="shared" si="66"/>
        <v>158</v>
      </c>
      <c r="FE94" s="10">
        <f t="shared" si="66"/>
        <v>159</v>
      </c>
      <c r="FF94" s="10">
        <f t="shared" si="66"/>
        <v>160</v>
      </c>
      <c r="FG94" s="10">
        <f t="shared" si="66"/>
        <v>161</v>
      </c>
      <c r="FH94" s="10">
        <f t="shared" si="66"/>
        <v>162</v>
      </c>
      <c r="FI94" s="10">
        <f t="shared" si="66"/>
        <v>163</v>
      </c>
      <c r="FJ94" s="10">
        <f t="shared" si="66"/>
        <v>164</v>
      </c>
      <c r="FK94" s="10">
        <f t="shared" si="66"/>
        <v>165</v>
      </c>
      <c r="FL94" s="10">
        <f t="shared" si="66"/>
        <v>166</v>
      </c>
      <c r="FM94" s="10">
        <f t="shared" si="66"/>
        <v>167</v>
      </c>
      <c r="FN94" s="10">
        <f t="shared" si="66"/>
        <v>168</v>
      </c>
      <c r="FO94" s="10">
        <f t="shared" si="66"/>
        <v>169</v>
      </c>
      <c r="FP94" s="10">
        <f t="shared" si="66"/>
        <v>170</v>
      </c>
      <c r="FQ94" s="10">
        <f t="shared" si="66"/>
        <v>171</v>
      </c>
      <c r="FR94" s="10">
        <f t="shared" si="66"/>
        <v>172</v>
      </c>
      <c r="FS94" s="10">
        <f t="shared" si="66"/>
        <v>173</v>
      </c>
      <c r="FT94" s="10">
        <f t="shared" si="66"/>
        <v>174</v>
      </c>
      <c r="FU94" s="10">
        <f t="shared" si="66"/>
        <v>175</v>
      </c>
      <c r="FV94" s="10">
        <f t="shared" si="66"/>
        <v>176</v>
      </c>
      <c r="FW94" s="10">
        <f t="shared" si="66"/>
        <v>177</v>
      </c>
      <c r="FX94" s="10">
        <f t="shared" si="66"/>
        <v>178</v>
      </c>
      <c r="FY94" s="10">
        <f t="shared" si="66"/>
        <v>179</v>
      </c>
      <c r="FZ94" s="10">
        <f t="shared" si="66"/>
        <v>180</v>
      </c>
      <c r="GA94" s="10">
        <f t="shared" si="66"/>
        <v>181</v>
      </c>
      <c r="GB94" s="10">
        <f t="shared" si="66"/>
        <v>182</v>
      </c>
      <c r="GC94" s="10">
        <f t="shared" si="66"/>
        <v>183</v>
      </c>
      <c r="GD94" s="10">
        <f t="shared" si="66"/>
        <v>184</v>
      </c>
      <c r="GE94" s="10">
        <f t="shared" si="66"/>
        <v>185</v>
      </c>
      <c r="GF94" s="10">
        <f t="shared" si="66"/>
        <v>186</v>
      </c>
      <c r="GG94" s="10">
        <f t="shared" si="66"/>
        <v>187</v>
      </c>
      <c r="GH94" s="10">
        <f t="shared" si="66"/>
        <v>188</v>
      </c>
      <c r="GI94" s="10">
        <f t="shared" si="66"/>
        <v>189</v>
      </c>
      <c r="GJ94" s="10">
        <f t="shared" si="66"/>
        <v>190</v>
      </c>
      <c r="GK94" s="10">
        <f t="shared" si="66"/>
        <v>191</v>
      </c>
      <c r="GL94" s="10">
        <f t="shared" si="66"/>
        <v>192</v>
      </c>
      <c r="GM94" s="10">
        <f t="shared" si="66"/>
        <v>193</v>
      </c>
      <c r="GN94" s="10">
        <f t="shared" si="66"/>
        <v>194</v>
      </c>
      <c r="GO94" s="10">
        <f t="shared" ref="GO94:IZ94" si="67">GN94+1</f>
        <v>195</v>
      </c>
      <c r="GP94" s="10">
        <f t="shared" si="67"/>
        <v>196</v>
      </c>
      <c r="GQ94" s="10">
        <f t="shared" si="67"/>
        <v>197</v>
      </c>
      <c r="GR94" s="10">
        <f t="shared" si="67"/>
        <v>198</v>
      </c>
      <c r="GS94" s="10">
        <f t="shared" si="67"/>
        <v>199</v>
      </c>
      <c r="GT94" s="10">
        <f t="shared" si="67"/>
        <v>200</v>
      </c>
      <c r="GU94" s="10">
        <f t="shared" si="67"/>
        <v>201</v>
      </c>
      <c r="GV94" s="10">
        <f t="shared" si="67"/>
        <v>202</v>
      </c>
      <c r="GW94" s="10">
        <f t="shared" si="67"/>
        <v>203</v>
      </c>
      <c r="GX94" s="10">
        <f t="shared" si="67"/>
        <v>204</v>
      </c>
      <c r="GY94" s="10">
        <f t="shared" si="67"/>
        <v>205</v>
      </c>
      <c r="GZ94" s="10">
        <f t="shared" si="67"/>
        <v>206</v>
      </c>
      <c r="HA94" s="10">
        <f t="shared" si="67"/>
        <v>207</v>
      </c>
      <c r="HB94" s="10">
        <f t="shared" si="67"/>
        <v>208</v>
      </c>
      <c r="HC94" s="10">
        <f t="shared" si="67"/>
        <v>209</v>
      </c>
      <c r="HD94" s="10">
        <f t="shared" si="67"/>
        <v>210</v>
      </c>
      <c r="HE94" s="10">
        <f t="shared" si="67"/>
        <v>211</v>
      </c>
      <c r="HF94" s="10">
        <f t="shared" si="67"/>
        <v>212</v>
      </c>
      <c r="HG94" s="10">
        <f t="shared" si="67"/>
        <v>213</v>
      </c>
      <c r="HH94" s="10">
        <f t="shared" si="67"/>
        <v>214</v>
      </c>
      <c r="HI94" s="10">
        <f t="shared" si="67"/>
        <v>215</v>
      </c>
      <c r="HJ94" s="10">
        <f t="shared" si="67"/>
        <v>216</v>
      </c>
      <c r="HK94" s="10">
        <f t="shared" si="67"/>
        <v>217</v>
      </c>
      <c r="HL94" s="10">
        <f t="shared" si="67"/>
        <v>218</v>
      </c>
      <c r="HM94" s="10">
        <f t="shared" si="67"/>
        <v>219</v>
      </c>
      <c r="HN94" s="10">
        <f t="shared" si="67"/>
        <v>220</v>
      </c>
      <c r="HO94" s="10">
        <f t="shared" si="67"/>
        <v>221</v>
      </c>
      <c r="HP94" s="10">
        <f t="shared" si="67"/>
        <v>222</v>
      </c>
      <c r="HQ94" s="10">
        <f t="shared" si="67"/>
        <v>223</v>
      </c>
      <c r="HR94" s="10">
        <f t="shared" si="67"/>
        <v>224</v>
      </c>
      <c r="HS94" s="10">
        <f t="shared" si="67"/>
        <v>225</v>
      </c>
      <c r="HT94" s="10">
        <f t="shared" si="67"/>
        <v>226</v>
      </c>
      <c r="HU94" s="10">
        <f t="shared" si="67"/>
        <v>227</v>
      </c>
      <c r="HV94" s="10">
        <f t="shared" si="67"/>
        <v>228</v>
      </c>
      <c r="HW94" s="10">
        <f t="shared" si="67"/>
        <v>229</v>
      </c>
      <c r="HX94" s="10">
        <f t="shared" si="67"/>
        <v>230</v>
      </c>
      <c r="HY94" s="10">
        <f t="shared" si="67"/>
        <v>231</v>
      </c>
      <c r="HZ94" s="10">
        <f t="shared" si="67"/>
        <v>232</v>
      </c>
      <c r="IA94" s="10">
        <f t="shared" si="67"/>
        <v>233</v>
      </c>
      <c r="IB94" s="10">
        <f t="shared" si="67"/>
        <v>234</v>
      </c>
      <c r="IC94" s="10">
        <f t="shared" si="67"/>
        <v>235</v>
      </c>
      <c r="ID94" s="10">
        <f t="shared" si="67"/>
        <v>236</v>
      </c>
      <c r="IE94" s="10">
        <f t="shared" si="67"/>
        <v>237</v>
      </c>
      <c r="IF94" s="10">
        <f t="shared" si="67"/>
        <v>238</v>
      </c>
      <c r="IG94" s="10">
        <f t="shared" si="67"/>
        <v>239</v>
      </c>
      <c r="IH94" s="10">
        <f t="shared" si="67"/>
        <v>240</v>
      </c>
      <c r="II94" s="10">
        <f t="shared" si="67"/>
        <v>241</v>
      </c>
      <c r="IJ94" s="10">
        <f t="shared" si="67"/>
        <v>242</v>
      </c>
      <c r="IK94" s="10">
        <f t="shared" si="67"/>
        <v>243</v>
      </c>
      <c r="IL94" s="10">
        <f t="shared" si="67"/>
        <v>244</v>
      </c>
      <c r="IM94" s="10">
        <f t="shared" si="67"/>
        <v>245</v>
      </c>
      <c r="IN94" s="10">
        <f t="shared" si="67"/>
        <v>246</v>
      </c>
      <c r="IO94" s="10">
        <f t="shared" si="67"/>
        <v>247</v>
      </c>
      <c r="IP94" s="10">
        <f t="shared" si="67"/>
        <v>248</v>
      </c>
      <c r="IQ94" s="10">
        <f t="shared" si="67"/>
        <v>249</v>
      </c>
      <c r="IR94" s="10">
        <f t="shared" si="67"/>
        <v>250</v>
      </c>
      <c r="IS94" s="10">
        <f t="shared" si="67"/>
        <v>251</v>
      </c>
      <c r="IT94" s="10">
        <f t="shared" si="67"/>
        <v>252</v>
      </c>
      <c r="IU94" s="10">
        <f t="shared" si="67"/>
        <v>253</v>
      </c>
      <c r="IV94" s="10">
        <f t="shared" si="67"/>
        <v>254</v>
      </c>
      <c r="IW94" s="10">
        <f t="shared" si="67"/>
        <v>255</v>
      </c>
      <c r="IX94" s="10">
        <f t="shared" si="67"/>
        <v>256</v>
      </c>
      <c r="IY94" s="10">
        <f t="shared" si="67"/>
        <v>257</v>
      </c>
      <c r="IZ94" s="10">
        <f t="shared" si="67"/>
        <v>258</v>
      </c>
      <c r="JA94" s="10">
        <f t="shared" ref="JA94:LL94" si="68">IZ94+1</f>
        <v>259</v>
      </c>
      <c r="JB94" s="10">
        <f t="shared" si="68"/>
        <v>260</v>
      </c>
      <c r="JC94" s="10">
        <f t="shared" si="68"/>
        <v>261</v>
      </c>
      <c r="JD94" s="10">
        <f t="shared" si="68"/>
        <v>262</v>
      </c>
      <c r="JE94" s="10">
        <f t="shared" si="68"/>
        <v>263</v>
      </c>
      <c r="JF94" s="10">
        <f t="shared" si="68"/>
        <v>264</v>
      </c>
      <c r="JG94" s="10">
        <f t="shared" si="68"/>
        <v>265</v>
      </c>
      <c r="JH94" s="10">
        <f t="shared" si="68"/>
        <v>266</v>
      </c>
      <c r="JI94" s="10">
        <f t="shared" si="68"/>
        <v>267</v>
      </c>
      <c r="JJ94" s="10">
        <f t="shared" si="68"/>
        <v>268</v>
      </c>
      <c r="JK94" s="10">
        <f t="shared" si="68"/>
        <v>269</v>
      </c>
      <c r="JL94" s="10">
        <f t="shared" si="68"/>
        <v>270</v>
      </c>
      <c r="JM94" s="10">
        <f t="shared" si="68"/>
        <v>271</v>
      </c>
      <c r="JN94" s="10">
        <f t="shared" si="68"/>
        <v>272</v>
      </c>
      <c r="JO94" s="10">
        <f t="shared" si="68"/>
        <v>273</v>
      </c>
      <c r="JP94" s="10">
        <f t="shared" si="68"/>
        <v>274</v>
      </c>
      <c r="JQ94" s="10">
        <f t="shared" si="68"/>
        <v>275</v>
      </c>
      <c r="JR94" s="10">
        <f t="shared" si="68"/>
        <v>276</v>
      </c>
      <c r="JS94" s="10">
        <f t="shared" si="68"/>
        <v>277</v>
      </c>
      <c r="JT94" s="10">
        <f t="shared" si="68"/>
        <v>278</v>
      </c>
      <c r="JU94" s="10">
        <f t="shared" si="68"/>
        <v>279</v>
      </c>
      <c r="JV94" s="10">
        <f t="shared" si="68"/>
        <v>280</v>
      </c>
      <c r="JW94" s="10">
        <f t="shared" si="68"/>
        <v>281</v>
      </c>
      <c r="JX94" s="10">
        <f t="shared" si="68"/>
        <v>282</v>
      </c>
      <c r="JY94" s="10">
        <f t="shared" si="68"/>
        <v>283</v>
      </c>
      <c r="JZ94" s="10">
        <f t="shared" si="68"/>
        <v>284</v>
      </c>
      <c r="KA94" s="10">
        <f t="shared" si="68"/>
        <v>285</v>
      </c>
      <c r="KB94" s="10">
        <f t="shared" si="68"/>
        <v>286</v>
      </c>
      <c r="KC94" s="10">
        <f t="shared" si="68"/>
        <v>287</v>
      </c>
      <c r="KD94" s="10">
        <f t="shared" si="68"/>
        <v>288</v>
      </c>
      <c r="KE94" s="10">
        <f t="shared" si="68"/>
        <v>289</v>
      </c>
      <c r="KF94" s="10">
        <f t="shared" si="68"/>
        <v>290</v>
      </c>
      <c r="KG94" s="10">
        <f t="shared" si="68"/>
        <v>291</v>
      </c>
      <c r="KH94" s="10">
        <f t="shared" si="68"/>
        <v>292</v>
      </c>
      <c r="KI94" s="10">
        <f t="shared" si="68"/>
        <v>293</v>
      </c>
      <c r="KJ94" s="10">
        <f t="shared" si="68"/>
        <v>294</v>
      </c>
      <c r="KK94" s="10">
        <f t="shared" si="68"/>
        <v>295</v>
      </c>
      <c r="KL94" s="10">
        <f t="shared" si="68"/>
        <v>296</v>
      </c>
      <c r="KM94" s="10">
        <f t="shared" si="68"/>
        <v>297</v>
      </c>
      <c r="KN94" s="10">
        <f t="shared" si="68"/>
        <v>298</v>
      </c>
      <c r="KO94" s="10">
        <f t="shared" si="68"/>
        <v>299</v>
      </c>
      <c r="KP94" s="10">
        <f t="shared" si="68"/>
        <v>300</v>
      </c>
      <c r="KQ94" s="10">
        <f t="shared" si="68"/>
        <v>301</v>
      </c>
      <c r="KR94" s="10">
        <f t="shared" si="68"/>
        <v>302</v>
      </c>
      <c r="KS94" s="10">
        <f t="shared" si="68"/>
        <v>303</v>
      </c>
      <c r="KT94" s="10">
        <f t="shared" si="68"/>
        <v>304</v>
      </c>
      <c r="KU94" s="10">
        <f t="shared" si="68"/>
        <v>305</v>
      </c>
      <c r="KV94" s="10">
        <f t="shared" si="68"/>
        <v>306</v>
      </c>
      <c r="KW94" s="10">
        <f t="shared" si="68"/>
        <v>307</v>
      </c>
      <c r="KX94" s="10">
        <f t="shared" si="68"/>
        <v>308</v>
      </c>
      <c r="KY94" s="10">
        <f t="shared" si="68"/>
        <v>309</v>
      </c>
      <c r="KZ94" s="10">
        <f t="shared" si="68"/>
        <v>310</v>
      </c>
      <c r="LA94" s="10">
        <f t="shared" si="68"/>
        <v>311</v>
      </c>
      <c r="LB94" s="10">
        <f t="shared" si="68"/>
        <v>312</v>
      </c>
      <c r="LC94" s="10">
        <f t="shared" si="68"/>
        <v>313</v>
      </c>
      <c r="LD94" s="10">
        <f t="shared" si="68"/>
        <v>314</v>
      </c>
      <c r="LE94" s="10">
        <f t="shared" si="68"/>
        <v>315</v>
      </c>
      <c r="LF94" s="10">
        <f t="shared" si="68"/>
        <v>316</v>
      </c>
      <c r="LG94" s="10">
        <f t="shared" si="68"/>
        <v>317</v>
      </c>
      <c r="LH94" s="10">
        <f t="shared" si="68"/>
        <v>318</v>
      </c>
      <c r="LI94" s="10">
        <f t="shared" si="68"/>
        <v>319</v>
      </c>
      <c r="LJ94" s="10">
        <f t="shared" si="68"/>
        <v>320</v>
      </c>
      <c r="LK94" s="10">
        <f t="shared" si="68"/>
        <v>321</v>
      </c>
      <c r="LL94" s="10">
        <f t="shared" si="68"/>
        <v>322</v>
      </c>
      <c r="LM94" s="10">
        <f t="shared" ref="LM94:NX94" si="69">LL94+1</f>
        <v>323</v>
      </c>
      <c r="LN94" s="10">
        <f t="shared" si="69"/>
        <v>324</v>
      </c>
      <c r="LO94" s="10">
        <f t="shared" si="69"/>
        <v>325</v>
      </c>
      <c r="LP94" s="10">
        <f t="shared" si="69"/>
        <v>326</v>
      </c>
      <c r="LQ94" s="10">
        <f t="shared" si="69"/>
        <v>327</v>
      </c>
      <c r="LR94" s="10">
        <f t="shared" si="69"/>
        <v>328</v>
      </c>
      <c r="LS94" s="10">
        <f t="shared" si="69"/>
        <v>329</v>
      </c>
      <c r="LT94" s="10">
        <f t="shared" si="69"/>
        <v>330</v>
      </c>
      <c r="LU94" s="10">
        <f t="shared" si="69"/>
        <v>331</v>
      </c>
      <c r="LV94" s="10">
        <f t="shared" si="69"/>
        <v>332</v>
      </c>
      <c r="LW94" s="10">
        <f t="shared" si="69"/>
        <v>333</v>
      </c>
      <c r="LX94" s="10">
        <f t="shared" si="69"/>
        <v>334</v>
      </c>
      <c r="LY94" s="10">
        <f t="shared" si="69"/>
        <v>335</v>
      </c>
      <c r="LZ94" s="10">
        <f t="shared" si="69"/>
        <v>336</v>
      </c>
      <c r="MA94" s="10">
        <f t="shared" si="69"/>
        <v>337</v>
      </c>
      <c r="MB94" s="10">
        <f t="shared" si="69"/>
        <v>338</v>
      </c>
      <c r="MC94" s="10">
        <f t="shared" si="69"/>
        <v>339</v>
      </c>
      <c r="MD94" s="10">
        <f t="shared" si="69"/>
        <v>340</v>
      </c>
      <c r="ME94" s="10">
        <f t="shared" si="69"/>
        <v>341</v>
      </c>
      <c r="MF94" s="10">
        <f t="shared" si="69"/>
        <v>342</v>
      </c>
      <c r="MG94" s="10">
        <f t="shared" si="69"/>
        <v>343</v>
      </c>
      <c r="MH94" s="10">
        <f t="shared" si="69"/>
        <v>344</v>
      </c>
      <c r="MI94" s="10">
        <f t="shared" si="69"/>
        <v>345</v>
      </c>
      <c r="MJ94" s="10">
        <f t="shared" si="69"/>
        <v>346</v>
      </c>
      <c r="MK94" s="10">
        <f t="shared" si="69"/>
        <v>347</v>
      </c>
      <c r="ML94" s="10">
        <f t="shared" si="69"/>
        <v>348</v>
      </c>
      <c r="MM94" s="10">
        <f t="shared" si="69"/>
        <v>349</v>
      </c>
      <c r="MN94" s="10">
        <f t="shared" si="69"/>
        <v>350</v>
      </c>
      <c r="MO94" s="10">
        <f t="shared" si="69"/>
        <v>351</v>
      </c>
      <c r="MP94" s="10">
        <f t="shared" si="69"/>
        <v>352</v>
      </c>
      <c r="MQ94" s="10">
        <f t="shared" si="69"/>
        <v>353</v>
      </c>
      <c r="MR94" s="10">
        <f t="shared" si="69"/>
        <v>354</v>
      </c>
      <c r="MS94" s="10">
        <f t="shared" si="69"/>
        <v>355</v>
      </c>
      <c r="MT94" s="10">
        <f t="shared" si="69"/>
        <v>356</v>
      </c>
      <c r="MU94" s="10">
        <f t="shared" si="69"/>
        <v>357</v>
      </c>
      <c r="MV94" s="10">
        <f t="shared" si="69"/>
        <v>358</v>
      </c>
      <c r="MW94" s="10">
        <f t="shared" si="69"/>
        <v>359</v>
      </c>
      <c r="MX94" s="10">
        <f t="shared" si="69"/>
        <v>360</v>
      </c>
      <c r="MY94" s="10">
        <f t="shared" si="69"/>
        <v>361</v>
      </c>
      <c r="MZ94" s="10">
        <f t="shared" si="69"/>
        <v>362</v>
      </c>
      <c r="NA94" s="10">
        <f t="shared" si="69"/>
        <v>363</v>
      </c>
      <c r="NB94" s="10">
        <f t="shared" si="69"/>
        <v>364</v>
      </c>
      <c r="NC94" s="10">
        <f t="shared" si="69"/>
        <v>365</v>
      </c>
      <c r="ND94" s="10">
        <f t="shared" si="69"/>
        <v>366</v>
      </c>
      <c r="NE94" s="10">
        <f t="shared" si="69"/>
        <v>367</v>
      </c>
      <c r="NF94" s="10">
        <f t="shared" si="69"/>
        <v>368</v>
      </c>
      <c r="NG94" s="10">
        <f t="shared" si="69"/>
        <v>369</v>
      </c>
      <c r="NH94" s="10">
        <f t="shared" si="69"/>
        <v>370</v>
      </c>
      <c r="NI94" s="10">
        <f t="shared" si="69"/>
        <v>371</v>
      </c>
      <c r="NJ94" s="10">
        <f t="shared" si="69"/>
        <v>372</v>
      </c>
      <c r="NK94" s="10">
        <f t="shared" si="69"/>
        <v>373</v>
      </c>
      <c r="NL94" s="10">
        <f t="shared" si="69"/>
        <v>374</v>
      </c>
      <c r="NM94" s="10">
        <f t="shared" si="69"/>
        <v>375</v>
      </c>
      <c r="NN94" s="10">
        <f t="shared" si="69"/>
        <v>376</v>
      </c>
      <c r="NO94" s="10">
        <f t="shared" si="69"/>
        <v>377</v>
      </c>
      <c r="NP94" s="10">
        <f t="shared" si="69"/>
        <v>378</v>
      </c>
      <c r="NQ94" s="10">
        <f t="shared" si="69"/>
        <v>379</v>
      </c>
      <c r="NR94" s="10">
        <f t="shared" si="69"/>
        <v>380</v>
      </c>
      <c r="NS94" s="10">
        <f t="shared" si="69"/>
        <v>381</v>
      </c>
      <c r="NT94" s="10">
        <f t="shared" si="69"/>
        <v>382</v>
      </c>
      <c r="NU94" s="10">
        <f t="shared" si="69"/>
        <v>383</v>
      </c>
      <c r="NV94" s="10">
        <f t="shared" si="69"/>
        <v>384</v>
      </c>
      <c r="NW94" s="10">
        <f t="shared" si="69"/>
        <v>385</v>
      </c>
      <c r="NX94" s="10">
        <f t="shared" si="69"/>
        <v>386</v>
      </c>
      <c r="NY94" s="10">
        <f t="shared" ref="NY94:PF94" si="70">NX94+1</f>
        <v>387</v>
      </c>
      <c r="NZ94" s="10">
        <f t="shared" si="70"/>
        <v>388</v>
      </c>
      <c r="OA94" s="10">
        <f t="shared" si="70"/>
        <v>389</v>
      </c>
      <c r="OB94" s="10">
        <f t="shared" si="70"/>
        <v>390</v>
      </c>
      <c r="OC94" s="10">
        <f t="shared" si="70"/>
        <v>391</v>
      </c>
      <c r="OD94" s="10">
        <f t="shared" si="70"/>
        <v>392</v>
      </c>
      <c r="OE94" s="10">
        <f t="shared" si="70"/>
        <v>393</v>
      </c>
      <c r="OF94" s="10">
        <f t="shared" si="70"/>
        <v>394</v>
      </c>
      <c r="OG94" s="10">
        <f t="shared" si="70"/>
        <v>395</v>
      </c>
      <c r="OH94" s="10">
        <f t="shared" si="70"/>
        <v>396</v>
      </c>
      <c r="OI94" s="10">
        <f t="shared" si="70"/>
        <v>397</v>
      </c>
      <c r="OJ94" s="10">
        <f t="shared" si="70"/>
        <v>398</v>
      </c>
      <c r="OK94" s="10">
        <f t="shared" si="70"/>
        <v>399</v>
      </c>
      <c r="OL94" s="10">
        <f t="shared" si="70"/>
        <v>400</v>
      </c>
      <c r="OM94" s="10">
        <f t="shared" si="70"/>
        <v>401</v>
      </c>
      <c r="ON94" s="10">
        <f t="shared" si="70"/>
        <v>402</v>
      </c>
      <c r="OO94" s="10">
        <f t="shared" si="70"/>
        <v>403</v>
      </c>
      <c r="OP94" s="10">
        <f t="shared" si="70"/>
        <v>404</v>
      </c>
      <c r="OQ94" s="10">
        <f t="shared" si="70"/>
        <v>405</v>
      </c>
      <c r="OR94" s="10">
        <f t="shared" si="70"/>
        <v>406</v>
      </c>
      <c r="OS94" s="10">
        <f t="shared" si="70"/>
        <v>407</v>
      </c>
      <c r="OT94" s="10">
        <f t="shared" si="70"/>
        <v>408</v>
      </c>
      <c r="OU94" s="10">
        <f t="shared" si="70"/>
        <v>409</v>
      </c>
      <c r="OV94" s="10">
        <f t="shared" si="70"/>
        <v>410</v>
      </c>
      <c r="OW94" s="10">
        <f t="shared" si="70"/>
        <v>411</v>
      </c>
      <c r="OX94" s="10">
        <f t="shared" si="70"/>
        <v>412</v>
      </c>
      <c r="OY94" s="10">
        <f t="shared" si="70"/>
        <v>413</v>
      </c>
      <c r="OZ94" s="10">
        <f t="shared" si="70"/>
        <v>414</v>
      </c>
      <c r="PA94" s="10">
        <f t="shared" si="70"/>
        <v>415</v>
      </c>
      <c r="PB94" s="10">
        <f t="shared" si="70"/>
        <v>416</v>
      </c>
      <c r="PC94" s="10">
        <f t="shared" si="70"/>
        <v>417</v>
      </c>
      <c r="PD94" s="10">
        <f t="shared" si="70"/>
        <v>418</v>
      </c>
      <c r="PE94" s="10">
        <f t="shared" si="70"/>
        <v>419</v>
      </c>
      <c r="PF94" s="10">
        <f t="shared" si="70"/>
        <v>420</v>
      </c>
      <c r="PG94" s="10"/>
      <c r="PH94" s="10"/>
      <c r="PI94" s="10"/>
      <c r="PJ94" s="10"/>
      <c r="PK94" s="10"/>
      <c r="PL94" s="10"/>
      <c r="PM94" s="10"/>
      <c r="PN94" s="10"/>
      <c r="PO94" s="10"/>
      <c r="PP94" s="10"/>
      <c r="PQ94" s="10"/>
      <c r="PR94" s="10"/>
      <c r="PS94" s="10"/>
      <c r="PT94" s="10"/>
      <c r="PU94" s="10"/>
      <c r="PV94" s="10"/>
      <c r="PW94" s="10"/>
      <c r="PX94" s="10"/>
      <c r="PY94" s="10"/>
      <c r="PZ94" s="10"/>
      <c r="QA94" s="10"/>
      <c r="QB94" s="10"/>
      <c r="QC94" s="10"/>
      <c r="QD94" s="10"/>
      <c r="QE94" s="10"/>
      <c r="QF94" s="10"/>
      <c r="QG94" s="10"/>
      <c r="QH94" s="10"/>
      <c r="QI94" s="10"/>
      <c r="QJ94" s="10"/>
      <c r="QK94" s="10"/>
      <c r="QL94" s="10"/>
      <c r="QM94" s="10"/>
      <c r="QN94" s="10"/>
      <c r="QO94" s="10"/>
      <c r="QP94" s="10"/>
      <c r="QQ94" s="10"/>
      <c r="QR94" s="10"/>
      <c r="QS94" s="10"/>
      <c r="QT94" s="10"/>
      <c r="QU94" s="10"/>
      <c r="QV94" s="10"/>
    </row>
    <row r="95" spans="1:464" s="11" customFormat="1" hidden="1">
      <c r="A95" s="13" t="s">
        <v>32</v>
      </c>
      <c r="B95" s="10">
        <v>0</v>
      </c>
      <c r="C95" s="19">
        <v>1</v>
      </c>
      <c r="D95" s="10">
        <v>1</v>
      </c>
      <c r="E95" s="10">
        <v>1</v>
      </c>
      <c r="F95" s="10">
        <v>1</v>
      </c>
      <c r="G95" s="10">
        <v>1</v>
      </c>
      <c r="H95" s="10">
        <v>1</v>
      </c>
      <c r="I95" s="10">
        <v>1</v>
      </c>
      <c r="J95" s="10">
        <v>1</v>
      </c>
      <c r="K95" s="10">
        <v>1</v>
      </c>
      <c r="L95" s="10">
        <v>1</v>
      </c>
      <c r="M95" s="10">
        <v>1</v>
      </c>
      <c r="N95" s="10">
        <v>1</v>
      </c>
      <c r="O95" s="10">
        <v>2</v>
      </c>
      <c r="P95" s="10">
        <v>2</v>
      </c>
      <c r="Q95" s="10">
        <v>2</v>
      </c>
      <c r="R95" s="10">
        <v>2</v>
      </c>
      <c r="S95" s="10">
        <v>2</v>
      </c>
      <c r="T95" s="10">
        <v>2</v>
      </c>
      <c r="U95" s="10">
        <v>2</v>
      </c>
      <c r="V95" s="10">
        <v>2</v>
      </c>
      <c r="W95" s="10">
        <v>2</v>
      </c>
      <c r="X95" s="10">
        <v>2</v>
      </c>
      <c r="Y95" s="10">
        <v>2</v>
      </c>
      <c r="Z95" s="10">
        <v>2</v>
      </c>
      <c r="AA95" s="10">
        <v>3</v>
      </c>
      <c r="AB95" s="10">
        <v>3</v>
      </c>
      <c r="AC95" s="10">
        <v>3</v>
      </c>
      <c r="AD95" s="10">
        <v>3</v>
      </c>
      <c r="AE95" s="10">
        <v>3</v>
      </c>
      <c r="AF95" s="10">
        <v>3</v>
      </c>
      <c r="AG95" s="10">
        <v>3</v>
      </c>
      <c r="AH95" s="10">
        <v>3</v>
      </c>
      <c r="AI95" s="10">
        <v>3</v>
      </c>
      <c r="AJ95" s="10">
        <v>3</v>
      </c>
      <c r="AK95" s="10">
        <v>3</v>
      </c>
      <c r="AL95" s="10">
        <v>3</v>
      </c>
      <c r="AM95" s="10">
        <v>4</v>
      </c>
      <c r="AN95" s="10">
        <v>4</v>
      </c>
      <c r="AO95" s="10">
        <v>4</v>
      </c>
      <c r="AP95" s="10">
        <v>4</v>
      </c>
      <c r="AQ95" s="10">
        <v>4</v>
      </c>
      <c r="AR95" s="10">
        <v>4</v>
      </c>
      <c r="AS95" s="10">
        <v>4</v>
      </c>
      <c r="AT95" s="10">
        <v>4</v>
      </c>
      <c r="AU95" s="10">
        <v>4</v>
      </c>
      <c r="AV95" s="10">
        <v>4</v>
      </c>
      <c r="AW95" s="10">
        <v>4</v>
      </c>
      <c r="AX95" s="10">
        <v>4</v>
      </c>
      <c r="AY95" s="10">
        <v>5</v>
      </c>
      <c r="AZ95" s="10">
        <v>5</v>
      </c>
      <c r="BA95" s="10">
        <v>5</v>
      </c>
      <c r="BB95" s="10">
        <v>5</v>
      </c>
      <c r="BC95" s="10">
        <v>5</v>
      </c>
      <c r="BD95" s="10">
        <v>5</v>
      </c>
      <c r="BE95" s="10">
        <v>5</v>
      </c>
      <c r="BF95" s="10">
        <v>5</v>
      </c>
      <c r="BG95" s="10">
        <v>5</v>
      </c>
      <c r="BH95" s="10">
        <v>5</v>
      </c>
      <c r="BI95" s="10">
        <v>5</v>
      </c>
      <c r="BJ95" s="10">
        <v>5</v>
      </c>
      <c r="BK95" s="10">
        <v>6</v>
      </c>
      <c r="BL95" s="10">
        <v>6</v>
      </c>
      <c r="BM95" s="10">
        <v>6</v>
      </c>
      <c r="BN95" s="10">
        <v>6</v>
      </c>
      <c r="BO95" s="10">
        <v>6</v>
      </c>
      <c r="BP95" s="10">
        <v>6</v>
      </c>
      <c r="BQ95" s="10">
        <v>6</v>
      </c>
      <c r="BR95" s="10">
        <v>6</v>
      </c>
      <c r="BS95" s="10">
        <v>6</v>
      </c>
      <c r="BT95" s="10">
        <v>6</v>
      </c>
      <c r="BU95" s="10">
        <v>6</v>
      </c>
      <c r="BV95" s="10">
        <v>6</v>
      </c>
      <c r="BW95" s="10">
        <v>7</v>
      </c>
      <c r="BX95" s="10">
        <v>7</v>
      </c>
      <c r="BY95" s="10">
        <v>7</v>
      </c>
      <c r="BZ95" s="10">
        <v>7</v>
      </c>
      <c r="CA95" s="10">
        <v>7</v>
      </c>
      <c r="CB95" s="10">
        <v>7</v>
      </c>
      <c r="CC95" s="10">
        <v>7</v>
      </c>
      <c r="CD95" s="10">
        <v>7</v>
      </c>
      <c r="CE95" s="10">
        <v>7</v>
      </c>
      <c r="CF95" s="10">
        <v>7</v>
      </c>
      <c r="CG95" s="10">
        <v>7</v>
      </c>
      <c r="CH95" s="10">
        <v>7</v>
      </c>
      <c r="CI95" s="10">
        <v>8</v>
      </c>
      <c r="CJ95" s="10">
        <v>8</v>
      </c>
      <c r="CK95" s="10">
        <v>8</v>
      </c>
      <c r="CL95" s="10">
        <v>8</v>
      </c>
      <c r="CM95" s="10">
        <v>8</v>
      </c>
      <c r="CN95" s="10">
        <v>8</v>
      </c>
      <c r="CO95" s="10">
        <v>8</v>
      </c>
      <c r="CP95" s="10">
        <v>8</v>
      </c>
      <c r="CQ95" s="10">
        <v>8</v>
      </c>
      <c r="CR95" s="10">
        <v>8</v>
      </c>
      <c r="CS95" s="10">
        <v>8</v>
      </c>
      <c r="CT95" s="10">
        <v>8</v>
      </c>
      <c r="CU95" s="10">
        <v>9</v>
      </c>
      <c r="CV95" s="10">
        <v>9</v>
      </c>
      <c r="CW95" s="10">
        <v>9</v>
      </c>
      <c r="CX95" s="10">
        <v>9</v>
      </c>
      <c r="CY95" s="10">
        <v>9</v>
      </c>
      <c r="CZ95" s="10">
        <v>9</v>
      </c>
      <c r="DA95" s="10">
        <v>9</v>
      </c>
      <c r="DB95" s="10">
        <v>9</v>
      </c>
      <c r="DC95" s="10">
        <v>9</v>
      </c>
      <c r="DD95" s="10">
        <v>9</v>
      </c>
      <c r="DE95" s="10">
        <v>9</v>
      </c>
      <c r="DF95" s="10">
        <v>9</v>
      </c>
      <c r="DG95" s="10">
        <v>10</v>
      </c>
      <c r="DH95" s="10">
        <v>10</v>
      </c>
      <c r="DI95" s="10">
        <v>10</v>
      </c>
      <c r="DJ95" s="10">
        <v>10</v>
      </c>
      <c r="DK95" s="10">
        <v>10</v>
      </c>
      <c r="DL95" s="10">
        <v>10</v>
      </c>
      <c r="DM95" s="10">
        <v>10</v>
      </c>
      <c r="DN95" s="10">
        <v>10</v>
      </c>
      <c r="DO95" s="10">
        <v>10</v>
      </c>
      <c r="DP95" s="10">
        <v>10</v>
      </c>
      <c r="DQ95" s="10">
        <v>10</v>
      </c>
      <c r="DR95" s="10">
        <v>10</v>
      </c>
      <c r="DS95" s="10">
        <v>11</v>
      </c>
      <c r="DT95" s="10">
        <v>11</v>
      </c>
      <c r="DU95" s="10">
        <v>11</v>
      </c>
      <c r="DV95" s="10">
        <v>11</v>
      </c>
      <c r="DW95" s="10">
        <v>11</v>
      </c>
      <c r="DX95" s="10">
        <v>11</v>
      </c>
      <c r="DY95" s="10">
        <v>11</v>
      </c>
      <c r="DZ95" s="10">
        <v>11</v>
      </c>
      <c r="EA95" s="10">
        <v>11</v>
      </c>
      <c r="EB95" s="10">
        <v>11</v>
      </c>
      <c r="EC95" s="10">
        <v>11</v>
      </c>
      <c r="ED95" s="10">
        <v>11</v>
      </c>
      <c r="EE95" s="10">
        <v>12</v>
      </c>
      <c r="EF95" s="10">
        <v>12</v>
      </c>
      <c r="EG95" s="10">
        <v>12</v>
      </c>
      <c r="EH95" s="10">
        <v>12</v>
      </c>
      <c r="EI95" s="10">
        <v>12</v>
      </c>
      <c r="EJ95" s="10">
        <v>12</v>
      </c>
      <c r="EK95" s="10">
        <v>12</v>
      </c>
      <c r="EL95" s="10">
        <v>12</v>
      </c>
      <c r="EM95" s="10">
        <v>12</v>
      </c>
      <c r="EN95" s="10">
        <v>12</v>
      </c>
      <c r="EO95" s="10">
        <v>12</v>
      </c>
      <c r="EP95" s="10">
        <v>12</v>
      </c>
      <c r="EQ95" s="10">
        <v>13</v>
      </c>
      <c r="ER95" s="10">
        <v>13</v>
      </c>
      <c r="ES95" s="10">
        <v>13</v>
      </c>
      <c r="ET95" s="10">
        <v>13</v>
      </c>
      <c r="EU95" s="10">
        <v>13</v>
      </c>
      <c r="EV95" s="10">
        <v>13</v>
      </c>
      <c r="EW95" s="10">
        <v>13</v>
      </c>
      <c r="EX95" s="10">
        <v>13</v>
      </c>
      <c r="EY95" s="10">
        <v>13</v>
      </c>
      <c r="EZ95" s="10">
        <v>13</v>
      </c>
      <c r="FA95" s="10">
        <v>13</v>
      </c>
      <c r="FB95" s="10">
        <v>13</v>
      </c>
      <c r="FC95" s="10">
        <v>14</v>
      </c>
      <c r="FD95" s="10">
        <v>14</v>
      </c>
      <c r="FE95" s="10">
        <v>14</v>
      </c>
      <c r="FF95" s="10">
        <v>14</v>
      </c>
      <c r="FG95" s="10">
        <v>14</v>
      </c>
      <c r="FH95" s="10">
        <v>14</v>
      </c>
      <c r="FI95" s="10">
        <v>14</v>
      </c>
      <c r="FJ95" s="10">
        <v>14</v>
      </c>
      <c r="FK95" s="10">
        <v>14</v>
      </c>
      <c r="FL95" s="10">
        <v>14</v>
      </c>
      <c r="FM95" s="10">
        <v>14</v>
      </c>
      <c r="FN95" s="10">
        <v>14</v>
      </c>
      <c r="FO95" s="10">
        <v>15</v>
      </c>
      <c r="FP95" s="10">
        <v>15</v>
      </c>
      <c r="FQ95" s="10">
        <v>15</v>
      </c>
      <c r="FR95" s="10">
        <v>15</v>
      </c>
      <c r="FS95" s="10">
        <v>15</v>
      </c>
      <c r="FT95" s="10">
        <v>15</v>
      </c>
      <c r="FU95" s="10">
        <v>15</v>
      </c>
      <c r="FV95" s="10">
        <v>15</v>
      </c>
      <c r="FW95" s="10">
        <v>15</v>
      </c>
      <c r="FX95" s="10">
        <v>15</v>
      </c>
      <c r="FY95" s="10">
        <v>15</v>
      </c>
      <c r="FZ95" s="10">
        <v>15</v>
      </c>
      <c r="GA95" s="10">
        <v>16</v>
      </c>
      <c r="GB95" s="10">
        <v>16</v>
      </c>
      <c r="GC95" s="10">
        <v>16</v>
      </c>
      <c r="GD95" s="10">
        <v>16</v>
      </c>
      <c r="GE95" s="10">
        <v>16</v>
      </c>
      <c r="GF95" s="10">
        <v>16</v>
      </c>
      <c r="GG95" s="10">
        <v>16</v>
      </c>
      <c r="GH95" s="10">
        <v>16</v>
      </c>
      <c r="GI95" s="10">
        <v>16</v>
      </c>
      <c r="GJ95" s="10">
        <v>16</v>
      </c>
      <c r="GK95" s="10">
        <v>16</v>
      </c>
      <c r="GL95" s="10">
        <v>16</v>
      </c>
      <c r="GM95" s="10">
        <v>17</v>
      </c>
      <c r="GN95" s="10">
        <v>17</v>
      </c>
      <c r="GO95" s="10">
        <v>17</v>
      </c>
      <c r="GP95" s="10">
        <v>17</v>
      </c>
      <c r="GQ95" s="10">
        <v>17</v>
      </c>
      <c r="GR95" s="10">
        <v>17</v>
      </c>
      <c r="GS95" s="10">
        <v>17</v>
      </c>
      <c r="GT95" s="10">
        <v>17</v>
      </c>
      <c r="GU95" s="10">
        <v>17</v>
      </c>
      <c r="GV95" s="10">
        <v>17</v>
      </c>
      <c r="GW95" s="10">
        <v>17</v>
      </c>
      <c r="GX95" s="10">
        <v>17</v>
      </c>
      <c r="GY95" s="10">
        <v>18</v>
      </c>
      <c r="GZ95" s="10">
        <v>18</v>
      </c>
      <c r="HA95" s="10">
        <v>18</v>
      </c>
      <c r="HB95" s="10">
        <v>18</v>
      </c>
      <c r="HC95" s="10">
        <v>18</v>
      </c>
      <c r="HD95" s="10">
        <v>18</v>
      </c>
      <c r="HE95" s="10">
        <v>18</v>
      </c>
      <c r="HF95" s="10">
        <v>18</v>
      </c>
      <c r="HG95" s="10">
        <v>18</v>
      </c>
      <c r="HH95" s="10">
        <v>18</v>
      </c>
      <c r="HI95" s="10">
        <v>18</v>
      </c>
      <c r="HJ95" s="10">
        <v>18</v>
      </c>
      <c r="HK95" s="10">
        <v>19</v>
      </c>
      <c r="HL95" s="10">
        <v>19</v>
      </c>
      <c r="HM95" s="10">
        <v>19</v>
      </c>
      <c r="HN95" s="10">
        <v>19</v>
      </c>
      <c r="HO95" s="10">
        <v>19</v>
      </c>
      <c r="HP95" s="10">
        <v>19</v>
      </c>
      <c r="HQ95" s="10">
        <v>19</v>
      </c>
      <c r="HR95" s="10">
        <v>19</v>
      </c>
      <c r="HS95" s="10">
        <v>19</v>
      </c>
      <c r="HT95" s="10">
        <v>19</v>
      </c>
      <c r="HU95" s="10">
        <v>19</v>
      </c>
      <c r="HV95" s="10">
        <v>19</v>
      </c>
      <c r="HW95" s="10">
        <v>20</v>
      </c>
      <c r="HX95" s="10">
        <v>20</v>
      </c>
      <c r="HY95" s="10">
        <v>20</v>
      </c>
      <c r="HZ95" s="10">
        <v>20</v>
      </c>
      <c r="IA95" s="10">
        <v>20</v>
      </c>
      <c r="IB95" s="10">
        <v>20</v>
      </c>
      <c r="IC95" s="10">
        <v>20</v>
      </c>
      <c r="ID95" s="10">
        <v>20</v>
      </c>
      <c r="IE95" s="10">
        <v>20</v>
      </c>
      <c r="IF95" s="10">
        <v>20</v>
      </c>
      <c r="IG95" s="10">
        <v>20</v>
      </c>
      <c r="IH95" s="10">
        <v>20</v>
      </c>
      <c r="II95" s="10">
        <v>21</v>
      </c>
      <c r="IJ95" s="10">
        <v>21</v>
      </c>
      <c r="IK95" s="10">
        <v>21</v>
      </c>
      <c r="IL95" s="10">
        <v>21</v>
      </c>
      <c r="IM95" s="10">
        <v>21</v>
      </c>
      <c r="IN95" s="10">
        <v>21</v>
      </c>
      <c r="IO95" s="10">
        <v>21</v>
      </c>
      <c r="IP95" s="10">
        <v>21</v>
      </c>
      <c r="IQ95" s="10">
        <v>21</v>
      </c>
      <c r="IR95" s="10">
        <v>21</v>
      </c>
      <c r="IS95" s="10">
        <v>21</v>
      </c>
      <c r="IT95" s="10">
        <v>21</v>
      </c>
      <c r="IU95" s="10">
        <v>22</v>
      </c>
      <c r="IV95" s="10">
        <v>22</v>
      </c>
      <c r="IW95" s="10">
        <v>22</v>
      </c>
      <c r="IX95" s="10">
        <v>22</v>
      </c>
      <c r="IY95" s="10">
        <v>22</v>
      </c>
      <c r="IZ95" s="10">
        <v>22</v>
      </c>
      <c r="JA95" s="10">
        <v>22</v>
      </c>
      <c r="JB95" s="10">
        <v>22</v>
      </c>
      <c r="JC95" s="10">
        <v>22</v>
      </c>
      <c r="JD95" s="10">
        <v>22</v>
      </c>
      <c r="JE95" s="10">
        <v>22</v>
      </c>
      <c r="JF95" s="10">
        <v>22</v>
      </c>
      <c r="JG95" s="10">
        <v>23</v>
      </c>
      <c r="JH95" s="10">
        <v>23</v>
      </c>
      <c r="JI95" s="10">
        <v>23</v>
      </c>
      <c r="JJ95" s="10">
        <v>23</v>
      </c>
      <c r="JK95" s="10">
        <v>23</v>
      </c>
      <c r="JL95" s="10">
        <v>23</v>
      </c>
      <c r="JM95" s="10">
        <v>23</v>
      </c>
      <c r="JN95" s="10">
        <v>23</v>
      </c>
      <c r="JO95" s="10">
        <v>23</v>
      </c>
      <c r="JP95" s="10">
        <v>23</v>
      </c>
      <c r="JQ95" s="10">
        <v>23</v>
      </c>
      <c r="JR95" s="10">
        <v>23</v>
      </c>
      <c r="JS95" s="10">
        <v>24</v>
      </c>
      <c r="JT95" s="10">
        <v>24</v>
      </c>
      <c r="JU95" s="10">
        <v>24</v>
      </c>
      <c r="JV95" s="10">
        <v>24</v>
      </c>
      <c r="JW95" s="10">
        <v>24</v>
      </c>
      <c r="JX95" s="10">
        <v>24</v>
      </c>
      <c r="JY95" s="10">
        <v>24</v>
      </c>
      <c r="JZ95" s="10">
        <v>24</v>
      </c>
      <c r="KA95" s="10">
        <v>24</v>
      </c>
      <c r="KB95" s="10">
        <v>24</v>
      </c>
      <c r="KC95" s="10">
        <v>24</v>
      </c>
      <c r="KD95" s="10">
        <v>24</v>
      </c>
      <c r="KE95" s="10">
        <v>25</v>
      </c>
      <c r="KF95" s="10">
        <v>25</v>
      </c>
      <c r="KG95" s="10">
        <v>25</v>
      </c>
      <c r="KH95" s="10">
        <v>25</v>
      </c>
      <c r="KI95" s="10">
        <v>25</v>
      </c>
      <c r="KJ95" s="10">
        <v>25</v>
      </c>
      <c r="KK95" s="10">
        <v>25</v>
      </c>
      <c r="KL95" s="10">
        <v>25</v>
      </c>
      <c r="KM95" s="10">
        <v>25</v>
      </c>
      <c r="KN95" s="10">
        <v>25</v>
      </c>
      <c r="KO95" s="10">
        <v>25</v>
      </c>
      <c r="KP95" s="10">
        <v>25</v>
      </c>
      <c r="KQ95" s="10">
        <v>26</v>
      </c>
      <c r="KR95" s="10">
        <v>26</v>
      </c>
      <c r="KS95" s="10">
        <v>26</v>
      </c>
      <c r="KT95" s="10">
        <v>26</v>
      </c>
      <c r="KU95" s="10">
        <v>26</v>
      </c>
      <c r="KV95" s="10">
        <v>26</v>
      </c>
      <c r="KW95" s="10">
        <v>26</v>
      </c>
      <c r="KX95" s="10">
        <v>26</v>
      </c>
      <c r="KY95" s="10">
        <v>26</v>
      </c>
      <c r="KZ95" s="10">
        <v>26</v>
      </c>
      <c r="LA95" s="10">
        <v>26</v>
      </c>
      <c r="LB95" s="10">
        <v>26</v>
      </c>
      <c r="LC95" s="10">
        <v>27</v>
      </c>
      <c r="LD95" s="10">
        <v>27</v>
      </c>
      <c r="LE95" s="10">
        <v>27</v>
      </c>
      <c r="LF95" s="10">
        <v>27</v>
      </c>
      <c r="LG95" s="10">
        <v>27</v>
      </c>
      <c r="LH95" s="10">
        <v>27</v>
      </c>
      <c r="LI95" s="10">
        <v>27</v>
      </c>
      <c r="LJ95" s="10">
        <v>27</v>
      </c>
      <c r="LK95" s="10">
        <v>27</v>
      </c>
      <c r="LL95" s="10">
        <v>27</v>
      </c>
      <c r="LM95" s="10">
        <v>27</v>
      </c>
      <c r="LN95" s="10">
        <v>27</v>
      </c>
      <c r="LO95" s="10">
        <v>28</v>
      </c>
      <c r="LP95" s="10">
        <v>28</v>
      </c>
      <c r="LQ95" s="10">
        <v>28</v>
      </c>
      <c r="LR95" s="10">
        <v>28</v>
      </c>
      <c r="LS95" s="10">
        <v>28</v>
      </c>
      <c r="LT95" s="10">
        <v>28</v>
      </c>
      <c r="LU95" s="10">
        <v>28</v>
      </c>
      <c r="LV95" s="10">
        <v>28</v>
      </c>
      <c r="LW95" s="10">
        <v>28</v>
      </c>
      <c r="LX95" s="10">
        <v>28</v>
      </c>
      <c r="LY95" s="10">
        <v>28</v>
      </c>
      <c r="LZ95" s="10">
        <v>28</v>
      </c>
      <c r="MA95" s="10">
        <v>29</v>
      </c>
      <c r="MB95" s="10">
        <v>29</v>
      </c>
      <c r="MC95" s="10">
        <v>29</v>
      </c>
      <c r="MD95" s="10">
        <v>29</v>
      </c>
      <c r="ME95" s="10">
        <v>29</v>
      </c>
      <c r="MF95" s="10">
        <v>29</v>
      </c>
      <c r="MG95" s="10">
        <v>29</v>
      </c>
      <c r="MH95" s="10">
        <v>29</v>
      </c>
      <c r="MI95" s="10">
        <v>29</v>
      </c>
      <c r="MJ95" s="10">
        <v>29</v>
      </c>
      <c r="MK95" s="10">
        <v>29</v>
      </c>
      <c r="ML95" s="10">
        <v>29</v>
      </c>
      <c r="MM95" s="10">
        <v>30</v>
      </c>
      <c r="MN95" s="10">
        <v>30</v>
      </c>
      <c r="MO95" s="10">
        <v>30</v>
      </c>
      <c r="MP95" s="10">
        <v>30</v>
      </c>
      <c r="MQ95" s="10">
        <v>30</v>
      </c>
      <c r="MR95" s="10">
        <v>30</v>
      </c>
      <c r="MS95" s="10">
        <v>30</v>
      </c>
      <c r="MT95" s="10">
        <v>30</v>
      </c>
      <c r="MU95" s="10">
        <v>30</v>
      </c>
      <c r="MV95" s="10">
        <v>30</v>
      </c>
      <c r="MW95" s="10">
        <v>30</v>
      </c>
      <c r="MX95" s="10">
        <v>30</v>
      </c>
      <c r="MY95" s="10">
        <v>31</v>
      </c>
      <c r="MZ95" s="10">
        <v>31</v>
      </c>
      <c r="NA95" s="10">
        <v>31</v>
      </c>
      <c r="NB95" s="10">
        <v>31</v>
      </c>
      <c r="NC95" s="10">
        <v>31</v>
      </c>
      <c r="ND95" s="10">
        <v>31</v>
      </c>
      <c r="NE95" s="10">
        <v>31</v>
      </c>
      <c r="NF95" s="10">
        <v>31</v>
      </c>
      <c r="NG95" s="10">
        <v>31</v>
      </c>
      <c r="NH95" s="10">
        <v>31</v>
      </c>
      <c r="NI95" s="10">
        <v>31</v>
      </c>
      <c r="NJ95" s="10">
        <v>31</v>
      </c>
      <c r="NK95" s="10">
        <v>32</v>
      </c>
      <c r="NL95" s="10">
        <v>32</v>
      </c>
      <c r="NM95" s="10">
        <v>32</v>
      </c>
      <c r="NN95" s="10">
        <v>32</v>
      </c>
      <c r="NO95" s="10">
        <v>32</v>
      </c>
      <c r="NP95" s="10">
        <v>32</v>
      </c>
      <c r="NQ95" s="10">
        <v>32</v>
      </c>
      <c r="NR95" s="10">
        <v>32</v>
      </c>
      <c r="NS95" s="10">
        <v>32</v>
      </c>
      <c r="NT95" s="10">
        <v>32</v>
      </c>
      <c r="NU95" s="10">
        <v>32</v>
      </c>
      <c r="NV95" s="10">
        <v>32</v>
      </c>
      <c r="NW95" s="10">
        <v>33</v>
      </c>
      <c r="NX95" s="10">
        <v>33</v>
      </c>
      <c r="NY95" s="10">
        <v>33</v>
      </c>
      <c r="NZ95" s="10">
        <v>33</v>
      </c>
      <c r="OA95" s="10">
        <v>33</v>
      </c>
      <c r="OB95" s="10">
        <v>33</v>
      </c>
      <c r="OC95" s="10">
        <v>33</v>
      </c>
      <c r="OD95" s="10">
        <v>33</v>
      </c>
      <c r="OE95" s="10">
        <v>33</v>
      </c>
      <c r="OF95" s="10">
        <v>33</v>
      </c>
      <c r="OG95" s="10">
        <v>33</v>
      </c>
      <c r="OH95" s="10">
        <v>33</v>
      </c>
      <c r="OI95" s="10">
        <v>34</v>
      </c>
      <c r="OJ95" s="10">
        <v>34</v>
      </c>
      <c r="OK95" s="10">
        <v>34</v>
      </c>
      <c r="OL95" s="10">
        <v>34</v>
      </c>
      <c r="OM95" s="10">
        <v>34</v>
      </c>
      <c r="ON95" s="10">
        <v>34</v>
      </c>
      <c r="OO95" s="10">
        <v>34</v>
      </c>
      <c r="OP95" s="10">
        <v>34</v>
      </c>
      <c r="OQ95" s="10">
        <v>34</v>
      </c>
      <c r="OR95" s="10">
        <v>34</v>
      </c>
      <c r="OS95" s="10">
        <v>34</v>
      </c>
      <c r="OT95" s="10">
        <v>34</v>
      </c>
      <c r="OU95" s="10">
        <v>35</v>
      </c>
      <c r="OV95" s="10">
        <v>35</v>
      </c>
      <c r="OW95" s="10">
        <v>35</v>
      </c>
      <c r="OX95" s="10">
        <v>35</v>
      </c>
      <c r="OY95" s="10">
        <v>35</v>
      </c>
      <c r="OZ95" s="10">
        <v>35</v>
      </c>
      <c r="PA95" s="10">
        <v>35</v>
      </c>
      <c r="PB95" s="10">
        <v>35</v>
      </c>
      <c r="PC95" s="10">
        <v>35</v>
      </c>
      <c r="PD95" s="10">
        <v>35</v>
      </c>
      <c r="PE95" s="10">
        <v>35</v>
      </c>
      <c r="PF95" s="10">
        <v>35</v>
      </c>
    </row>
    <row r="96" spans="1:464" hidden="1">
      <c r="C96" s="18"/>
    </row>
    <row r="97" spans="1:422" hidden="1">
      <c r="A97" s="13" t="s">
        <v>33</v>
      </c>
      <c r="C97" s="18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</row>
    <row r="98" spans="1:422" hidden="1">
      <c r="A98" s="6" t="s">
        <v>34</v>
      </c>
      <c r="B98" s="5">
        <f>B22</f>
        <v>10000000</v>
      </c>
      <c r="C98" s="18">
        <f t="shared" ref="C98:BN98" si="71">IF(C95&lt;=$B$92, B98*(1+$B$28/12), 0)</f>
        <v>10058333.333333334</v>
      </c>
      <c r="D98" s="5">
        <f t="shared" si="71"/>
        <v>10117006.944444446</v>
      </c>
      <c r="E98" s="5">
        <f t="shared" si="71"/>
        <v>10176022.818287039</v>
      </c>
      <c r="F98" s="5">
        <f t="shared" si="71"/>
        <v>10235382.951393714</v>
      </c>
      <c r="G98" s="5">
        <f t="shared" si="71"/>
        <v>10295089.351943512</v>
      </c>
      <c r="H98" s="5">
        <f t="shared" si="71"/>
        <v>10355144.039829848</v>
      </c>
      <c r="I98" s="5">
        <f t="shared" si="71"/>
        <v>10415549.046728857</v>
      </c>
      <c r="J98" s="5">
        <f t="shared" si="71"/>
        <v>10476306.416168109</v>
      </c>
      <c r="K98" s="5">
        <f t="shared" si="71"/>
        <v>10537418.203595756</v>
      </c>
      <c r="L98" s="5">
        <f t="shared" si="71"/>
        <v>10598886.476450065</v>
      </c>
      <c r="M98" s="5">
        <f t="shared" si="71"/>
        <v>10660713.314229358</v>
      </c>
      <c r="N98" s="5">
        <f t="shared" si="71"/>
        <v>10722900.808562363</v>
      </c>
      <c r="O98" s="5">
        <f t="shared" si="71"/>
        <v>10785451.063278977</v>
      </c>
      <c r="P98" s="5">
        <f t="shared" si="71"/>
        <v>10848366.194481438</v>
      </c>
      <c r="Q98" s="5">
        <f t="shared" si="71"/>
        <v>10911648.330615913</v>
      </c>
      <c r="R98" s="5">
        <f t="shared" si="71"/>
        <v>10975299.612544507</v>
      </c>
      <c r="S98" s="5">
        <f t="shared" si="71"/>
        <v>11039322.193617683</v>
      </c>
      <c r="T98" s="5">
        <f t="shared" si="71"/>
        <v>11103718.23974712</v>
      </c>
      <c r="U98" s="5">
        <f t="shared" si="71"/>
        <v>11168489.929478979</v>
      </c>
      <c r="V98" s="5">
        <f t="shared" si="71"/>
        <v>11233639.454067606</v>
      </c>
      <c r="W98" s="5">
        <f t="shared" si="71"/>
        <v>11299169.017549668</v>
      </c>
      <c r="X98" s="5">
        <f t="shared" si="71"/>
        <v>11365080.836818708</v>
      </c>
      <c r="Y98" s="5">
        <f t="shared" si="71"/>
        <v>11431377.14170015</v>
      </c>
      <c r="Z98" s="5">
        <f t="shared" si="71"/>
        <v>11498060.175026735</v>
      </c>
      <c r="AA98" s="5">
        <f t="shared" si="71"/>
        <v>11565132.192714391</v>
      </c>
      <c r="AB98" s="5">
        <f t="shared" si="71"/>
        <v>11632595.463838559</v>
      </c>
      <c r="AC98" s="5">
        <f t="shared" si="71"/>
        <v>11700452.270710951</v>
      </c>
      <c r="AD98" s="5">
        <f t="shared" si="71"/>
        <v>11768704.908956764</v>
      </c>
      <c r="AE98" s="5">
        <f t="shared" si="71"/>
        <v>11837355.687592346</v>
      </c>
      <c r="AF98" s="5">
        <f t="shared" si="71"/>
        <v>11906406.929103302</v>
      </c>
      <c r="AG98" s="5">
        <f t="shared" si="71"/>
        <v>11975860.969523072</v>
      </c>
      <c r="AH98" s="5">
        <f t="shared" si="71"/>
        <v>12045720.158511957</v>
      </c>
      <c r="AI98" s="5">
        <f t="shared" si="71"/>
        <v>12115986.859436611</v>
      </c>
      <c r="AJ98" s="5">
        <f t="shared" si="71"/>
        <v>12186663.449449992</v>
      </c>
      <c r="AK98" s="5">
        <f t="shared" si="71"/>
        <v>12257752.319571784</v>
      </c>
      <c r="AL98" s="5">
        <f t="shared" si="71"/>
        <v>12329255.874769285</v>
      </c>
      <c r="AM98" s="5">
        <f t="shared" si="71"/>
        <v>12401176.534038773</v>
      </c>
      <c r="AN98" s="5">
        <f t="shared" si="71"/>
        <v>12473516.730487332</v>
      </c>
      <c r="AO98" s="5">
        <f t="shared" si="71"/>
        <v>12546278.911415175</v>
      </c>
      <c r="AP98" s="5">
        <f t="shared" si="71"/>
        <v>12619465.53839843</v>
      </c>
      <c r="AQ98" s="5">
        <f t="shared" si="71"/>
        <v>12693079.08737242</v>
      </c>
      <c r="AR98" s="5">
        <f t="shared" si="71"/>
        <v>12767122.048715426</v>
      </c>
      <c r="AS98" s="5">
        <f t="shared" si="71"/>
        <v>12841596.927332932</v>
      </c>
      <c r="AT98" s="5">
        <f t="shared" si="71"/>
        <v>12916506.242742375</v>
      </c>
      <c r="AU98" s="5">
        <f t="shared" si="71"/>
        <v>12991852.529158372</v>
      </c>
      <c r="AV98" s="5">
        <f t="shared" si="71"/>
        <v>13067638.335578464</v>
      </c>
      <c r="AW98" s="5">
        <f t="shared" si="71"/>
        <v>13143866.225869339</v>
      </c>
      <c r="AX98" s="5">
        <f t="shared" si="71"/>
        <v>13220538.778853577</v>
      </c>
      <c r="AY98" s="5">
        <f t="shared" si="71"/>
        <v>13297658.58839689</v>
      </c>
      <c r="AZ98" s="5">
        <f t="shared" si="71"/>
        <v>13375228.263495872</v>
      </c>
      <c r="BA98" s="5">
        <f t="shared" si="71"/>
        <v>13453250.428366264</v>
      </c>
      <c r="BB98" s="5">
        <f t="shared" si="71"/>
        <v>13531727.722531734</v>
      </c>
      <c r="BC98" s="5">
        <f t="shared" si="71"/>
        <v>13610662.80091317</v>
      </c>
      <c r="BD98" s="5">
        <f t="shared" si="71"/>
        <v>13690058.333918497</v>
      </c>
      <c r="BE98" s="5">
        <f t="shared" si="71"/>
        <v>13769917.007533021</v>
      </c>
      <c r="BF98" s="5">
        <f t="shared" si="71"/>
        <v>13850241.523410298</v>
      </c>
      <c r="BG98" s="5">
        <f t="shared" si="71"/>
        <v>13931034.598963525</v>
      </c>
      <c r="BH98" s="5">
        <f t="shared" si="71"/>
        <v>14012298.967457479</v>
      </c>
      <c r="BI98" s="5">
        <f t="shared" si="71"/>
        <v>14094037.378100982</v>
      </c>
      <c r="BJ98" s="5">
        <f t="shared" si="71"/>
        <v>14176252.596139904</v>
      </c>
      <c r="BK98" s="5">
        <f t="shared" si="71"/>
        <v>14258947.402950721</v>
      </c>
      <c r="BL98" s="5">
        <f t="shared" si="71"/>
        <v>14342124.596134601</v>
      </c>
      <c r="BM98" s="5">
        <f t="shared" si="71"/>
        <v>14425786.989612054</v>
      </c>
      <c r="BN98" s="5">
        <f t="shared" si="71"/>
        <v>14509937.413718125</v>
      </c>
      <c r="BO98" s="5">
        <f t="shared" ref="BO98:DZ98" si="72">IF(BO95&lt;=$B$92, BN98*(1+$B$28/12), 0)</f>
        <v>14594578.715298148</v>
      </c>
      <c r="BP98" s="5">
        <f t="shared" si="72"/>
        <v>14679713.757804055</v>
      </c>
      <c r="BQ98" s="5">
        <f t="shared" si="72"/>
        <v>14765345.421391245</v>
      </c>
      <c r="BR98" s="5">
        <f t="shared" si="72"/>
        <v>14851476.603016028</v>
      </c>
      <c r="BS98" s="5">
        <f t="shared" si="72"/>
        <v>14938110.216533622</v>
      </c>
      <c r="BT98" s="5">
        <f t="shared" si="72"/>
        <v>15025249.192796735</v>
      </c>
      <c r="BU98" s="5">
        <f t="shared" si="72"/>
        <v>15112896.479754716</v>
      </c>
      <c r="BV98" s="5">
        <f t="shared" si="72"/>
        <v>15201055.042553285</v>
      </c>
      <c r="BW98" s="5">
        <f t="shared" si="72"/>
        <v>15289727.863634847</v>
      </c>
      <c r="BX98" s="5">
        <f t="shared" si="72"/>
        <v>15378917.942839384</v>
      </c>
      <c r="BY98" s="5">
        <f t="shared" si="72"/>
        <v>15468628.297505947</v>
      </c>
      <c r="BZ98" s="5">
        <f t="shared" si="72"/>
        <v>15558861.962574732</v>
      </c>
      <c r="CA98" s="5">
        <f t="shared" si="72"/>
        <v>15649621.990689751</v>
      </c>
      <c r="CB98" s="5">
        <f t="shared" si="72"/>
        <v>15740911.452302108</v>
      </c>
      <c r="CC98" s="5">
        <f t="shared" si="72"/>
        <v>15832733.43577387</v>
      </c>
      <c r="CD98" s="5">
        <f t="shared" si="72"/>
        <v>15925091.047482552</v>
      </c>
      <c r="CE98" s="5">
        <f t="shared" si="72"/>
        <v>16017987.411926201</v>
      </c>
      <c r="CF98" s="5">
        <f t="shared" si="72"/>
        <v>16111425.671829104</v>
      </c>
      <c r="CG98" s="5">
        <f t="shared" si="72"/>
        <v>16205408.988248108</v>
      </c>
      <c r="CH98" s="5">
        <f t="shared" si="72"/>
        <v>16299940.540679555</v>
      </c>
      <c r="CI98" s="5">
        <f t="shared" si="72"/>
        <v>16395023.527166853</v>
      </c>
      <c r="CJ98" s="5">
        <f t="shared" si="72"/>
        <v>16490661.16440866</v>
      </c>
      <c r="CK98" s="5">
        <f t="shared" si="72"/>
        <v>16586856.68786771</v>
      </c>
      <c r="CL98" s="5">
        <f t="shared" si="72"/>
        <v>16683613.351880273</v>
      </c>
      <c r="CM98" s="5">
        <f t="shared" si="72"/>
        <v>16780934.429766241</v>
      </c>
      <c r="CN98" s="5">
        <f t="shared" si="72"/>
        <v>16878823.213939879</v>
      </c>
      <c r="CO98" s="5">
        <f t="shared" si="72"/>
        <v>16977283.016021196</v>
      </c>
      <c r="CP98" s="5">
        <f t="shared" si="72"/>
        <v>17076317.166947987</v>
      </c>
      <c r="CQ98" s="5">
        <f t="shared" si="72"/>
        <v>17175929.017088518</v>
      </c>
      <c r="CR98" s="5">
        <f t="shared" si="72"/>
        <v>17276121.936354868</v>
      </c>
      <c r="CS98" s="5">
        <f t="shared" si="72"/>
        <v>17376899.31431694</v>
      </c>
      <c r="CT98" s="5">
        <f t="shared" si="72"/>
        <v>17478264.560317121</v>
      </c>
      <c r="CU98" s="5">
        <f t="shared" si="72"/>
        <v>17580221.103585638</v>
      </c>
      <c r="CV98" s="5">
        <f t="shared" si="72"/>
        <v>17682772.393356554</v>
      </c>
      <c r="CW98" s="5">
        <f t="shared" si="72"/>
        <v>17785921.898984469</v>
      </c>
      <c r="CX98" s="5">
        <f t="shared" si="72"/>
        <v>17889673.11006188</v>
      </c>
      <c r="CY98" s="5">
        <f t="shared" si="72"/>
        <v>17994029.536537241</v>
      </c>
      <c r="CZ98" s="5">
        <f t="shared" si="72"/>
        <v>18098994.708833709</v>
      </c>
      <c r="DA98" s="5">
        <f t="shared" si="72"/>
        <v>18204572.177968573</v>
      </c>
      <c r="DB98" s="5">
        <f t="shared" si="72"/>
        <v>18310765.515673392</v>
      </c>
      <c r="DC98" s="5">
        <f t="shared" si="72"/>
        <v>18417578.31451482</v>
      </c>
      <c r="DD98" s="5">
        <f t="shared" si="72"/>
        <v>18525014.188016158</v>
      </c>
      <c r="DE98" s="5">
        <f t="shared" si="72"/>
        <v>18633076.770779587</v>
      </c>
      <c r="DF98" s="5">
        <f t="shared" si="72"/>
        <v>18741769.718609136</v>
      </c>
      <c r="DG98" s="5">
        <f t="shared" si="72"/>
        <v>18851096.708634354</v>
      </c>
      <c r="DH98" s="5">
        <f t="shared" si="72"/>
        <v>18961061.439434722</v>
      </c>
      <c r="DI98" s="5">
        <f t="shared" si="72"/>
        <v>19071667.631164759</v>
      </c>
      <c r="DJ98" s="5">
        <f t="shared" si="72"/>
        <v>19182919.025679886</v>
      </c>
      <c r="DK98" s="5">
        <f t="shared" si="72"/>
        <v>19294819.38666302</v>
      </c>
      <c r="DL98" s="5">
        <f t="shared" si="72"/>
        <v>19407372.499751888</v>
      </c>
      <c r="DM98" s="5">
        <f t="shared" si="72"/>
        <v>19520582.172667108</v>
      </c>
      <c r="DN98" s="5">
        <f t="shared" si="72"/>
        <v>19634452.235341001</v>
      </c>
      <c r="DO98" s="5">
        <f t="shared" si="72"/>
        <v>19748986.540047158</v>
      </c>
      <c r="DP98" s="5">
        <f t="shared" si="72"/>
        <v>19864188.961530767</v>
      </c>
      <c r="DQ98" s="5">
        <f t="shared" si="72"/>
        <v>19980063.397139698</v>
      </c>
      <c r="DR98" s="5">
        <f t="shared" si="72"/>
        <v>20096613.766956348</v>
      </c>
      <c r="DS98" s="5">
        <f t="shared" si="72"/>
        <v>20213844.013930261</v>
      </c>
      <c r="DT98" s="5">
        <f t="shared" si="72"/>
        <v>20331758.104011521</v>
      </c>
      <c r="DU98" s="5">
        <f t="shared" si="72"/>
        <v>20450360.026284922</v>
      </c>
      <c r="DV98" s="5">
        <f t="shared" si="72"/>
        <v>20569653.793104917</v>
      </c>
      <c r="DW98" s="5">
        <f t="shared" si="72"/>
        <v>20689643.440231364</v>
      </c>
      <c r="DX98" s="5">
        <f t="shared" si="72"/>
        <v>20810333.026966047</v>
      </c>
      <c r="DY98" s="5">
        <f t="shared" si="72"/>
        <v>20931726.636290014</v>
      </c>
      <c r="DZ98" s="5">
        <f t="shared" si="72"/>
        <v>21053828.375001706</v>
      </c>
      <c r="EA98" s="5">
        <f t="shared" ref="EA98:GL98" si="73">IF(EA95&lt;=$B$92, DZ98*(1+$B$28/12), 0)</f>
        <v>21176642.373855885</v>
      </c>
      <c r="EB98" s="5">
        <f t="shared" si="73"/>
        <v>21300172.78770338</v>
      </c>
      <c r="EC98" s="5">
        <f t="shared" si="73"/>
        <v>21424423.795631651</v>
      </c>
      <c r="ED98" s="5">
        <f t="shared" si="73"/>
        <v>21549399.601106171</v>
      </c>
      <c r="EE98" s="5">
        <f t="shared" si="73"/>
        <v>21675104.432112623</v>
      </c>
      <c r="EF98" s="5">
        <f t="shared" si="73"/>
        <v>21801542.541299947</v>
      </c>
      <c r="EG98" s="5">
        <f t="shared" si="73"/>
        <v>21928718.206124198</v>
      </c>
      <c r="EH98" s="5">
        <f t="shared" si="73"/>
        <v>22056635.728993256</v>
      </c>
      <c r="EI98" s="5">
        <f t="shared" si="73"/>
        <v>22185299.437412385</v>
      </c>
      <c r="EJ98" s="5">
        <f t="shared" si="73"/>
        <v>22314713.684130624</v>
      </c>
      <c r="EK98" s="5">
        <f t="shared" si="73"/>
        <v>22444882.847288053</v>
      </c>
      <c r="EL98" s="5">
        <f t="shared" si="73"/>
        <v>22575811.330563903</v>
      </c>
      <c r="EM98" s="5">
        <f t="shared" si="73"/>
        <v>22707503.563325524</v>
      </c>
      <c r="EN98" s="5">
        <f t="shared" si="73"/>
        <v>22839964.000778258</v>
      </c>
      <c r="EO98" s="5">
        <f t="shared" si="73"/>
        <v>22973197.12411613</v>
      </c>
      <c r="EP98" s="5">
        <f t="shared" si="73"/>
        <v>23107207.440673474</v>
      </c>
      <c r="EQ98" s="5">
        <f t="shared" si="73"/>
        <v>23241999.484077405</v>
      </c>
      <c r="ER98" s="5">
        <f t="shared" si="73"/>
        <v>23377577.814401191</v>
      </c>
      <c r="ES98" s="5">
        <f t="shared" si="73"/>
        <v>23513947.01831853</v>
      </c>
      <c r="ET98" s="5">
        <f t="shared" si="73"/>
        <v>23651111.709258724</v>
      </c>
      <c r="EU98" s="5">
        <f t="shared" si="73"/>
        <v>23789076.527562734</v>
      </c>
      <c r="EV98" s="5">
        <f t="shared" si="73"/>
        <v>23927846.140640184</v>
      </c>
      <c r="EW98" s="5">
        <f t="shared" si="73"/>
        <v>24067425.243127253</v>
      </c>
      <c r="EX98" s="5">
        <f t="shared" si="73"/>
        <v>24207818.557045497</v>
      </c>
      <c r="EY98" s="5">
        <f t="shared" si="73"/>
        <v>24349030.831961595</v>
      </c>
      <c r="EZ98" s="5">
        <f t="shared" si="73"/>
        <v>24491066.845148038</v>
      </c>
      <c r="FA98" s="5">
        <f t="shared" si="73"/>
        <v>24633931.401744734</v>
      </c>
      <c r="FB98" s="5">
        <f t="shared" si="73"/>
        <v>24777629.33492158</v>
      </c>
      <c r="FC98" s="5">
        <f t="shared" si="73"/>
        <v>24922165.506041955</v>
      </c>
      <c r="FD98" s="5">
        <f t="shared" si="73"/>
        <v>25067544.804827202</v>
      </c>
      <c r="FE98" s="5">
        <f t="shared" si="73"/>
        <v>25213772.149522029</v>
      </c>
      <c r="FF98" s="5">
        <f t="shared" si="73"/>
        <v>25360852.487060908</v>
      </c>
      <c r="FG98" s="5">
        <f t="shared" si="73"/>
        <v>25508790.793235432</v>
      </c>
      <c r="FH98" s="5">
        <f t="shared" si="73"/>
        <v>25657592.07286264</v>
      </c>
      <c r="FI98" s="5">
        <f t="shared" si="73"/>
        <v>25807261.359954339</v>
      </c>
      <c r="FJ98" s="5">
        <f t="shared" si="73"/>
        <v>25957803.717887405</v>
      </c>
      <c r="FK98" s="5">
        <f t="shared" si="73"/>
        <v>26109224.239575084</v>
      </c>
      <c r="FL98" s="5">
        <f t="shared" si="73"/>
        <v>26261528.047639273</v>
      </c>
      <c r="FM98" s="5">
        <f t="shared" si="73"/>
        <v>26414720.294583835</v>
      </c>
      <c r="FN98" s="5">
        <f t="shared" si="73"/>
        <v>26568806.162968908</v>
      </c>
      <c r="FO98" s="5">
        <f t="shared" si="73"/>
        <v>26723790.865586225</v>
      </c>
      <c r="FP98" s="5">
        <f t="shared" si="73"/>
        <v>26879679.645635478</v>
      </c>
      <c r="FQ98" s="5">
        <f t="shared" si="73"/>
        <v>27036477.776901685</v>
      </c>
      <c r="FR98" s="5">
        <f t="shared" si="73"/>
        <v>27194190.563933611</v>
      </c>
      <c r="FS98" s="5">
        <f t="shared" si="73"/>
        <v>27352823.342223223</v>
      </c>
      <c r="FT98" s="5">
        <f t="shared" si="73"/>
        <v>27512381.478386194</v>
      </c>
      <c r="FU98" s="5">
        <f t="shared" si="73"/>
        <v>27672870.370343447</v>
      </c>
      <c r="FV98" s="5">
        <f t="shared" si="73"/>
        <v>27834295.447503783</v>
      </c>
      <c r="FW98" s="5">
        <f t="shared" si="73"/>
        <v>27996662.170947555</v>
      </c>
      <c r="FX98" s="5">
        <f t="shared" si="73"/>
        <v>28159976.033611417</v>
      </c>
      <c r="FY98" s="5">
        <f t="shared" si="73"/>
        <v>28324242.56047415</v>
      </c>
      <c r="FZ98" s="5">
        <f t="shared" si="73"/>
        <v>28489467.308743585</v>
      </c>
      <c r="GA98" s="5">
        <f t="shared" si="73"/>
        <v>28655655.868044589</v>
      </c>
      <c r="GB98" s="5">
        <f t="shared" si="73"/>
        <v>28822813.860608183</v>
      </c>
      <c r="GC98" s="5">
        <f t="shared" si="73"/>
        <v>28990946.941461731</v>
      </c>
      <c r="GD98" s="5">
        <f t="shared" si="73"/>
        <v>29160060.798620258</v>
      </c>
      <c r="GE98" s="5">
        <f t="shared" si="73"/>
        <v>29330161.153278876</v>
      </c>
      <c r="GF98" s="5">
        <f t="shared" si="73"/>
        <v>29501253.760006338</v>
      </c>
      <c r="GG98" s="5">
        <f t="shared" si="73"/>
        <v>29673344.406939708</v>
      </c>
      <c r="GH98" s="5">
        <f t="shared" si="73"/>
        <v>29846438.91598019</v>
      </c>
      <c r="GI98" s="5">
        <f t="shared" si="73"/>
        <v>30020543.142990075</v>
      </c>
      <c r="GJ98" s="5">
        <f t="shared" si="73"/>
        <v>30195662.977990851</v>
      </c>
      <c r="GK98" s="5">
        <f t="shared" si="73"/>
        <v>30371804.345362466</v>
      </c>
      <c r="GL98" s="5">
        <f t="shared" si="73"/>
        <v>30548973.204043746</v>
      </c>
      <c r="GM98" s="5">
        <f t="shared" ref="GM98:IX98" si="74">IF(GM95&lt;=$B$92, GL98*(1+$B$28/12), 0)</f>
        <v>30727175.547734004</v>
      </c>
      <c r="GN98" s="5">
        <f t="shared" si="74"/>
        <v>30906417.405095786</v>
      </c>
      <c r="GO98" s="5">
        <f t="shared" si="74"/>
        <v>31086704.839958847</v>
      </c>
      <c r="GP98" s="5">
        <f t="shared" si="74"/>
        <v>31268043.951525275</v>
      </c>
      <c r="GQ98" s="5">
        <f t="shared" si="74"/>
        <v>31450440.874575838</v>
      </c>
      <c r="GR98" s="5">
        <f t="shared" si="74"/>
        <v>31633901.779677533</v>
      </c>
      <c r="GS98" s="5">
        <f t="shared" si="74"/>
        <v>31818432.873392317</v>
      </c>
      <c r="GT98" s="5">
        <f t="shared" si="74"/>
        <v>32004040.398487106</v>
      </c>
      <c r="GU98" s="5">
        <f t="shared" si="74"/>
        <v>32190730.634144947</v>
      </c>
      <c r="GV98" s="5">
        <f t="shared" si="74"/>
        <v>32378509.89617746</v>
      </c>
      <c r="GW98" s="5">
        <f t="shared" si="74"/>
        <v>32567384.537238497</v>
      </c>
      <c r="GX98" s="5">
        <f t="shared" si="74"/>
        <v>32757360.947039057</v>
      </c>
      <c r="GY98" s="5">
        <f t="shared" si="74"/>
        <v>32948445.552563451</v>
      </c>
      <c r="GZ98" s="5">
        <f t="shared" si="74"/>
        <v>33140644.818286739</v>
      </c>
      <c r="HA98" s="5">
        <f t="shared" si="74"/>
        <v>33333965.246393412</v>
      </c>
      <c r="HB98" s="5">
        <f t="shared" si="74"/>
        <v>33528413.376997374</v>
      </c>
      <c r="HC98" s="5">
        <f t="shared" si="74"/>
        <v>33723995.788363196</v>
      </c>
      <c r="HD98" s="5">
        <f t="shared" si="74"/>
        <v>33920719.097128652</v>
      </c>
      <c r="HE98" s="5">
        <f t="shared" si="74"/>
        <v>34118589.958528571</v>
      </c>
      <c r="HF98" s="5">
        <f t="shared" si="74"/>
        <v>34317615.066619985</v>
      </c>
      <c r="HG98" s="5">
        <f t="shared" si="74"/>
        <v>34517801.154508606</v>
      </c>
      <c r="HH98" s="5">
        <f t="shared" si="74"/>
        <v>34719154.994576573</v>
      </c>
      <c r="HI98" s="5">
        <f t="shared" si="74"/>
        <v>34921683.398711607</v>
      </c>
      <c r="HJ98" s="5">
        <f t="shared" si="74"/>
        <v>35125393.218537427</v>
      </c>
      <c r="HK98" s="5">
        <f t="shared" si="74"/>
        <v>35330291.345645562</v>
      </c>
      <c r="HL98" s="5">
        <f t="shared" si="74"/>
        <v>35536384.711828493</v>
      </c>
      <c r="HM98" s="5">
        <f t="shared" si="74"/>
        <v>35743680.289314158</v>
      </c>
      <c r="HN98" s="5">
        <f t="shared" si="74"/>
        <v>35952185.091001824</v>
      </c>
      <c r="HO98" s="5">
        <f t="shared" si="74"/>
        <v>36161906.170699336</v>
      </c>
      <c r="HP98" s="5">
        <f t="shared" si="74"/>
        <v>36372850.623361751</v>
      </c>
      <c r="HQ98" s="5">
        <f t="shared" si="74"/>
        <v>36585025.585331365</v>
      </c>
      <c r="HR98" s="5">
        <f t="shared" si="74"/>
        <v>36798438.234579131</v>
      </c>
      <c r="HS98" s="5">
        <f t="shared" si="74"/>
        <v>37013095.790947512</v>
      </c>
      <c r="HT98" s="5">
        <f t="shared" si="74"/>
        <v>37229005.516394705</v>
      </c>
      <c r="HU98" s="5">
        <f t="shared" si="74"/>
        <v>37446174.715240344</v>
      </c>
      <c r="HV98" s="5">
        <f t="shared" si="74"/>
        <v>37664610.734412581</v>
      </c>
      <c r="HW98" s="5">
        <f t="shared" si="74"/>
        <v>37884320.963696659</v>
      </c>
      <c r="HX98" s="5">
        <f t="shared" si="74"/>
        <v>38105312.835984893</v>
      </c>
      <c r="HY98" s="5">
        <f t="shared" si="74"/>
        <v>38327593.827528141</v>
      </c>
      <c r="HZ98" s="5">
        <f t="shared" si="74"/>
        <v>38551171.45818872</v>
      </c>
      <c r="IA98" s="5">
        <f t="shared" si="74"/>
        <v>38776053.29169482</v>
      </c>
      <c r="IB98" s="5">
        <f t="shared" si="74"/>
        <v>39002246.935896374</v>
      </c>
      <c r="IC98" s="5">
        <f t="shared" si="74"/>
        <v>39229760.043022439</v>
      </c>
      <c r="ID98" s="5">
        <f t="shared" si="74"/>
        <v>39458600.30994007</v>
      </c>
      <c r="IE98" s="5">
        <f t="shared" si="74"/>
        <v>39688775.478414722</v>
      </c>
      <c r="IF98" s="5">
        <f t="shared" si="74"/>
        <v>39920293.335372142</v>
      </c>
      <c r="IG98" s="5">
        <f t="shared" si="74"/>
        <v>40153161.713161811</v>
      </c>
      <c r="IH98" s="5">
        <f t="shared" si="74"/>
        <v>40387388.489821926</v>
      </c>
      <c r="II98" s="5">
        <f t="shared" si="74"/>
        <v>40622981.589345887</v>
      </c>
      <c r="IJ98" s="5">
        <f t="shared" si="74"/>
        <v>40859948.981950402</v>
      </c>
      <c r="IK98" s="5">
        <f t="shared" si="74"/>
        <v>41098298.684345111</v>
      </c>
      <c r="IL98" s="5">
        <f t="shared" si="74"/>
        <v>41338038.76000379</v>
      </c>
      <c r="IM98" s="5">
        <f t="shared" si="74"/>
        <v>41579177.319437146</v>
      </c>
      <c r="IN98" s="5">
        <f t="shared" si="74"/>
        <v>41821722.520467199</v>
      </c>
      <c r="IO98" s="5">
        <f t="shared" si="74"/>
        <v>42065682.568503261</v>
      </c>
      <c r="IP98" s="5">
        <f t="shared" si="74"/>
        <v>42311065.716819532</v>
      </c>
      <c r="IQ98" s="5">
        <f t="shared" si="74"/>
        <v>42557880.266834311</v>
      </c>
      <c r="IR98" s="5">
        <f t="shared" si="74"/>
        <v>42806134.568390846</v>
      </c>
      <c r="IS98" s="5">
        <f t="shared" si="74"/>
        <v>43055837.020039797</v>
      </c>
      <c r="IT98" s="5">
        <f t="shared" si="74"/>
        <v>43306996.069323361</v>
      </c>
      <c r="IU98" s="5">
        <f t="shared" si="74"/>
        <v>43559620.213061079</v>
      </c>
      <c r="IV98" s="5">
        <f t="shared" si="74"/>
        <v>43813717.997637272</v>
      </c>
      <c r="IW98" s="5">
        <f t="shared" si="74"/>
        <v>44069298.019290157</v>
      </c>
      <c r="IX98" s="5">
        <f t="shared" si="74"/>
        <v>44326368.924402684</v>
      </c>
      <c r="IY98" s="5">
        <f t="shared" ref="IY98:LJ98" si="75">IF(IY95&lt;=$B$92, IX98*(1+$B$28/12), 0)</f>
        <v>44584939.409795031</v>
      </c>
      <c r="IZ98" s="5">
        <f t="shared" si="75"/>
        <v>44845018.22301884</v>
      </c>
      <c r="JA98" s="5">
        <f t="shared" si="75"/>
        <v>45106614.162653118</v>
      </c>
      <c r="JB98" s="5">
        <f t="shared" si="75"/>
        <v>45369736.078601927</v>
      </c>
      <c r="JC98" s="5">
        <f t="shared" si="75"/>
        <v>45634392.872393772</v>
      </c>
      <c r="JD98" s="5">
        <f t="shared" si="75"/>
        <v>45900593.497482739</v>
      </c>
      <c r="JE98" s="5">
        <f t="shared" si="75"/>
        <v>46168346.959551387</v>
      </c>
      <c r="JF98" s="5">
        <f t="shared" si="75"/>
        <v>46437662.316815436</v>
      </c>
      <c r="JG98" s="5">
        <f t="shared" si="75"/>
        <v>46708548.680330195</v>
      </c>
      <c r="JH98" s="5">
        <f t="shared" si="75"/>
        <v>46981015.214298785</v>
      </c>
      <c r="JI98" s="5">
        <f t="shared" si="75"/>
        <v>47255071.136382192</v>
      </c>
      <c r="JJ98" s="5">
        <f t="shared" si="75"/>
        <v>47530725.718011089</v>
      </c>
      <c r="JK98" s="5">
        <f t="shared" si="75"/>
        <v>47807988.284699485</v>
      </c>
      <c r="JL98" s="5">
        <f t="shared" si="75"/>
        <v>48086868.216360234</v>
      </c>
      <c r="JM98" s="5">
        <f t="shared" si="75"/>
        <v>48367374.947622336</v>
      </c>
      <c r="JN98" s="5">
        <f t="shared" si="75"/>
        <v>48649517.968150131</v>
      </c>
      <c r="JO98" s="5">
        <f t="shared" si="75"/>
        <v>48933306.82296434</v>
      </c>
      <c r="JP98" s="5">
        <f t="shared" si="75"/>
        <v>49218751.112764969</v>
      </c>
      <c r="JQ98" s="5">
        <f t="shared" si="75"/>
        <v>49505860.494256102</v>
      </c>
      <c r="JR98" s="5">
        <f t="shared" si="75"/>
        <v>49794644.680472597</v>
      </c>
      <c r="JS98" s="5">
        <f t="shared" si="75"/>
        <v>50085113.441108689</v>
      </c>
      <c r="JT98" s="5">
        <f t="shared" si="75"/>
        <v>50377276.602848493</v>
      </c>
      <c r="JU98" s="5">
        <f t="shared" si="75"/>
        <v>50671144.049698442</v>
      </c>
      <c r="JV98" s="5">
        <f t="shared" si="75"/>
        <v>50966725.723321684</v>
      </c>
      <c r="JW98" s="5">
        <f t="shared" si="75"/>
        <v>51264031.623374395</v>
      </c>
      <c r="JX98" s="5">
        <f t="shared" si="75"/>
        <v>51563071.80784408</v>
      </c>
      <c r="JY98" s="5">
        <f t="shared" si="75"/>
        <v>51863856.393389836</v>
      </c>
      <c r="JZ98" s="5">
        <f t="shared" si="75"/>
        <v>52166395.555684611</v>
      </c>
      <c r="KA98" s="5">
        <f t="shared" si="75"/>
        <v>52470699.529759437</v>
      </c>
      <c r="KB98" s="5">
        <f t="shared" si="75"/>
        <v>52776778.6103497</v>
      </c>
      <c r="KC98" s="5">
        <f t="shared" si="75"/>
        <v>53084643.152243406</v>
      </c>
      <c r="KD98" s="5">
        <f t="shared" si="75"/>
        <v>53394303.570631497</v>
      </c>
      <c r="KE98" s="5">
        <f t="shared" si="75"/>
        <v>53705770.341460183</v>
      </c>
      <c r="KF98" s="5">
        <f t="shared" si="75"/>
        <v>54019054.001785368</v>
      </c>
      <c r="KG98" s="5">
        <f t="shared" si="75"/>
        <v>54334165.150129117</v>
      </c>
      <c r="KH98" s="5">
        <f t="shared" si="75"/>
        <v>54651114.446838208</v>
      </c>
      <c r="KI98" s="5">
        <f t="shared" si="75"/>
        <v>54969912.614444762</v>
      </c>
      <c r="KJ98" s="5">
        <f t="shared" si="75"/>
        <v>55290570.438029028</v>
      </c>
      <c r="KK98" s="5">
        <f t="shared" si="75"/>
        <v>55613098.765584201</v>
      </c>
      <c r="KL98" s="5">
        <f t="shared" si="75"/>
        <v>55937508.508383445</v>
      </c>
      <c r="KM98" s="5">
        <f t="shared" si="75"/>
        <v>56263810.641349018</v>
      </c>
      <c r="KN98" s="5">
        <f t="shared" si="75"/>
        <v>56592016.203423552</v>
      </c>
      <c r="KO98" s="5">
        <f t="shared" si="75"/>
        <v>56922136.297943525</v>
      </c>
      <c r="KP98" s="5">
        <f t="shared" si="75"/>
        <v>57254182.093014866</v>
      </c>
      <c r="KQ98" s="5">
        <f t="shared" si="75"/>
        <v>57588164.821890786</v>
      </c>
      <c r="KR98" s="5">
        <f t="shared" si="75"/>
        <v>57924095.783351816</v>
      </c>
      <c r="KS98" s="5">
        <f t="shared" si="75"/>
        <v>58261986.342088036</v>
      </c>
      <c r="KT98" s="5">
        <f t="shared" si="75"/>
        <v>58601847.929083548</v>
      </c>
      <c r="KU98" s="5">
        <f t="shared" si="75"/>
        <v>58943692.042003207</v>
      </c>
      <c r="KV98" s="5">
        <f t="shared" si="75"/>
        <v>59287530.24558156</v>
      </c>
      <c r="KW98" s="5">
        <f t="shared" si="75"/>
        <v>59633374.172014117</v>
      </c>
      <c r="KX98" s="5">
        <f t="shared" si="75"/>
        <v>59981235.521350868</v>
      </c>
      <c r="KY98" s="5">
        <f t="shared" si="75"/>
        <v>60331126.061892085</v>
      </c>
      <c r="KZ98" s="5">
        <f t="shared" si="75"/>
        <v>60683057.63058646</v>
      </c>
      <c r="LA98" s="5">
        <f t="shared" si="75"/>
        <v>61037042.133431546</v>
      </c>
      <c r="LB98" s="5">
        <f t="shared" si="75"/>
        <v>61393091.545876563</v>
      </c>
      <c r="LC98" s="5">
        <f t="shared" si="75"/>
        <v>61751217.913227513</v>
      </c>
      <c r="LD98" s="5">
        <f t="shared" si="75"/>
        <v>62111433.351054676</v>
      </c>
      <c r="LE98" s="5">
        <f t="shared" si="75"/>
        <v>62473750.045602493</v>
      </c>
      <c r="LF98" s="5">
        <f t="shared" si="75"/>
        <v>62838180.254201844</v>
      </c>
      <c r="LG98" s="5">
        <f t="shared" si="75"/>
        <v>63204736.305684693</v>
      </c>
      <c r="LH98" s="5">
        <f t="shared" si="75"/>
        <v>63573430.600801192</v>
      </c>
      <c r="LI98" s="5">
        <f t="shared" si="75"/>
        <v>63944275.612639204</v>
      </c>
      <c r="LJ98" s="5">
        <f t="shared" si="75"/>
        <v>64317283.88704627</v>
      </c>
      <c r="LK98" s="5">
        <f t="shared" ref="LK98:NV98" si="76">IF(LK95&lt;=$B$92, LJ98*(1+$B$28/12), 0)</f>
        <v>64692468.043054044</v>
      </c>
      <c r="LL98" s="5">
        <f t="shared" si="76"/>
        <v>65069840.773305193</v>
      </c>
      <c r="LM98" s="5">
        <f t="shared" si="76"/>
        <v>65449414.844482809</v>
      </c>
      <c r="LN98" s="5">
        <f t="shared" si="76"/>
        <v>65831203.097742297</v>
      </c>
      <c r="LO98" s="5">
        <f t="shared" si="76"/>
        <v>66215218.449145794</v>
      </c>
      <c r="LP98" s="5">
        <f t="shared" si="76"/>
        <v>66601473.890099145</v>
      </c>
      <c r="LQ98" s="5">
        <f t="shared" si="76"/>
        <v>66989982.487791389</v>
      </c>
      <c r="LR98" s="5">
        <f t="shared" si="76"/>
        <v>67380757.385636836</v>
      </c>
      <c r="LS98" s="5">
        <f t="shared" si="76"/>
        <v>67773811.803719714</v>
      </c>
      <c r="LT98" s="5">
        <f t="shared" si="76"/>
        <v>68169159.039241418</v>
      </c>
      <c r="LU98" s="5">
        <f t="shared" si="76"/>
        <v>68566812.466970325</v>
      </c>
      <c r="LV98" s="5">
        <f t="shared" si="76"/>
        <v>68966785.539694324</v>
      </c>
      <c r="LW98" s="5">
        <f t="shared" si="76"/>
        <v>69369091.788675874</v>
      </c>
      <c r="LX98" s="5">
        <f t="shared" si="76"/>
        <v>69773744.824109823</v>
      </c>
      <c r="LY98" s="5">
        <f t="shared" si="76"/>
        <v>70180758.335583791</v>
      </c>
      <c r="LZ98" s="5">
        <f t="shared" si="76"/>
        <v>70590146.092541367</v>
      </c>
      <c r="MA98" s="5">
        <f t="shared" si="76"/>
        <v>71001921.944747865</v>
      </c>
      <c r="MB98" s="5">
        <f t="shared" si="76"/>
        <v>71416099.822758898</v>
      </c>
      <c r="MC98" s="5">
        <f t="shared" si="76"/>
        <v>71832693.738391653</v>
      </c>
      <c r="MD98" s="5">
        <f t="shared" si="76"/>
        <v>72251717.785198942</v>
      </c>
      <c r="ME98" s="5">
        <f t="shared" si="76"/>
        <v>72673186.138945937</v>
      </c>
      <c r="MF98" s="5">
        <f t="shared" si="76"/>
        <v>73097113.058089793</v>
      </c>
      <c r="MG98" s="5">
        <f t="shared" si="76"/>
        <v>73523512.884261981</v>
      </c>
      <c r="MH98" s="5">
        <f t="shared" si="76"/>
        <v>73952400.042753518</v>
      </c>
      <c r="MI98" s="5">
        <f t="shared" si="76"/>
        <v>74383789.043002918</v>
      </c>
      <c r="MJ98" s="5">
        <f t="shared" si="76"/>
        <v>74817694.479087099</v>
      </c>
      <c r="MK98" s="5">
        <f t="shared" si="76"/>
        <v>75254131.030215114</v>
      </c>
      <c r="ML98" s="5">
        <f t="shared" si="76"/>
        <v>75693113.461224705</v>
      </c>
      <c r="MM98" s="5">
        <f t="shared" si="76"/>
        <v>76134656.623081848</v>
      </c>
      <c r="MN98" s="5">
        <f t="shared" si="76"/>
        <v>76578775.453383163</v>
      </c>
      <c r="MO98" s="5">
        <f t="shared" si="76"/>
        <v>77025484.976861238</v>
      </c>
      <c r="MP98" s="5">
        <f t="shared" si="76"/>
        <v>77474800.305892929</v>
      </c>
      <c r="MQ98" s="5">
        <f t="shared" si="76"/>
        <v>77926736.641010642</v>
      </c>
      <c r="MR98" s="5">
        <f t="shared" si="76"/>
        <v>78381309.271416545</v>
      </c>
      <c r="MS98" s="5">
        <f t="shared" si="76"/>
        <v>78838533.575499803</v>
      </c>
      <c r="MT98" s="5">
        <f t="shared" si="76"/>
        <v>79298425.021356881</v>
      </c>
      <c r="MU98" s="5">
        <f t="shared" si="76"/>
        <v>79760999.167314798</v>
      </c>
      <c r="MV98" s="5">
        <f t="shared" si="76"/>
        <v>80226271.662457466</v>
      </c>
      <c r="MW98" s="5">
        <f t="shared" si="76"/>
        <v>80694258.24715513</v>
      </c>
      <c r="MX98" s="5">
        <f t="shared" si="76"/>
        <v>81164974.753596872</v>
      </c>
      <c r="MY98" s="5">
        <f t="shared" si="76"/>
        <v>0</v>
      </c>
      <c r="MZ98" s="5">
        <f t="shared" si="76"/>
        <v>0</v>
      </c>
      <c r="NA98" s="5">
        <f t="shared" si="76"/>
        <v>0</v>
      </c>
      <c r="NB98" s="5">
        <f t="shared" si="76"/>
        <v>0</v>
      </c>
      <c r="NC98" s="5">
        <f t="shared" si="76"/>
        <v>0</v>
      </c>
      <c r="ND98" s="5">
        <f t="shared" si="76"/>
        <v>0</v>
      </c>
      <c r="NE98" s="5">
        <f t="shared" si="76"/>
        <v>0</v>
      </c>
      <c r="NF98" s="5">
        <f t="shared" si="76"/>
        <v>0</v>
      </c>
      <c r="NG98" s="5">
        <f t="shared" si="76"/>
        <v>0</v>
      </c>
      <c r="NH98" s="5">
        <f t="shared" si="76"/>
        <v>0</v>
      </c>
      <c r="NI98" s="5">
        <f t="shared" si="76"/>
        <v>0</v>
      </c>
      <c r="NJ98" s="5">
        <f t="shared" si="76"/>
        <v>0</v>
      </c>
      <c r="NK98" s="5">
        <f t="shared" si="76"/>
        <v>0</v>
      </c>
      <c r="NL98" s="5">
        <f t="shared" si="76"/>
        <v>0</v>
      </c>
      <c r="NM98" s="5">
        <f t="shared" si="76"/>
        <v>0</v>
      </c>
      <c r="NN98" s="5">
        <f t="shared" si="76"/>
        <v>0</v>
      </c>
      <c r="NO98" s="5">
        <f t="shared" si="76"/>
        <v>0</v>
      </c>
      <c r="NP98" s="5">
        <f t="shared" si="76"/>
        <v>0</v>
      </c>
      <c r="NQ98" s="5">
        <f t="shared" si="76"/>
        <v>0</v>
      </c>
      <c r="NR98" s="5">
        <f t="shared" si="76"/>
        <v>0</v>
      </c>
      <c r="NS98" s="5">
        <f t="shared" si="76"/>
        <v>0</v>
      </c>
      <c r="NT98" s="5">
        <f t="shared" si="76"/>
        <v>0</v>
      </c>
      <c r="NU98" s="5">
        <f t="shared" si="76"/>
        <v>0</v>
      </c>
      <c r="NV98" s="5">
        <f t="shared" si="76"/>
        <v>0</v>
      </c>
      <c r="NW98" s="5">
        <f t="shared" ref="NW98:PF98" si="77">IF(NW95&lt;=$B$92, NV98*(1+$B$28/12), 0)</f>
        <v>0</v>
      </c>
      <c r="NX98" s="5">
        <f t="shared" si="77"/>
        <v>0</v>
      </c>
      <c r="NY98" s="5">
        <f t="shared" si="77"/>
        <v>0</v>
      </c>
      <c r="NZ98" s="5">
        <f t="shared" si="77"/>
        <v>0</v>
      </c>
      <c r="OA98" s="5">
        <f t="shared" si="77"/>
        <v>0</v>
      </c>
      <c r="OB98" s="5">
        <f t="shared" si="77"/>
        <v>0</v>
      </c>
      <c r="OC98" s="5">
        <f t="shared" si="77"/>
        <v>0</v>
      </c>
      <c r="OD98" s="5">
        <f t="shared" si="77"/>
        <v>0</v>
      </c>
      <c r="OE98" s="5">
        <f t="shared" si="77"/>
        <v>0</v>
      </c>
      <c r="OF98" s="5">
        <f t="shared" si="77"/>
        <v>0</v>
      </c>
      <c r="OG98" s="5">
        <f t="shared" si="77"/>
        <v>0</v>
      </c>
      <c r="OH98" s="5">
        <f t="shared" si="77"/>
        <v>0</v>
      </c>
      <c r="OI98" s="5">
        <f t="shared" si="77"/>
        <v>0</v>
      </c>
      <c r="OJ98" s="5">
        <f t="shared" si="77"/>
        <v>0</v>
      </c>
      <c r="OK98" s="5">
        <f t="shared" si="77"/>
        <v>0</v>
      </c>
      <c r="OL98" s="5">
        <f t="shared" si="77"/>
        <v>0</v>
      </c>
      <c r="OM98" s="5">
        <f t="shared" si="77"/>
        <v>0</v>
      </c>
      <c r="ON98" s="5">
        <f t="shared" si="77"/>
        <v>0</v>
      </c>
      <c r="OO98" s="5">
        <f t="shared" si="77"/>
        <v>0</v>
      </c>
      <c r="OP98" s="5">
        <f t="shared" si="77"/>
        <v>0</v>
      </c>
      <c r="OQ98" s="5">
        <f t="shared" si="77"/>
        <v>0</v>
      </c>
      <c r="OR98" s="5">
        <f t="shared" si="77"/>
        <v>0</v>
      </c>
      <c r="OS98" s="5">
        <f t="shared" si="77"/>
        <v>0</v>
      </c>
      <c r="OT98" s="5">
        <f t="shared" si="77"/>
        <v>0</v>
      </c>
      <c r="OU98" s="5">
        <f t="shared" si="77"/>
        <v>0</v>
      </c>
      <c r="OV98" s="5">
        <f t="shared" si="77"/>
        <v>0</v>
      </c>
      <c r="OW98" s="5">
        <f t="shared" si="77"/>
        <v>0</v>
      </c>
      <c r="OX98" s="5">
        <f t="shared" si="77"/>
        <v>0</v>
      </c>
      <c r="OY98" s="5">
        <f t="shared" si="77"/>
        <v>0</v>
      </c>
      <c r="OZ98" s="5">
        <f t="shared" si="77"/>
        <v>0</v>
      </c>
      <c r="PA98" s="5">
        <f t="shared" si="77"/>
        <v>0</v>
      </c>
      <c r="PB98" s="5">
        <f t="shared" si="77"/>
        <v>0</v>
      </c>
      <c r="PC98" s="5">
        <f t="shared" si="77"/>
        <v>0</v>
      </c>
      <c r="PD98" s="5">
        <f t="shared" si="77"/>
        <v>0</v>
      </c>
      <c r="PE98" s="5">
        <f t="shared" si="77"/>
        <v>0</v>
      </c>
      <c r="PF98" s="5">
        <f t="shared" si="77"/>
        <v>0</v>
      </c>
    </row>
    <row r="99" spans="1:422" hidden="1">
      <c r="A99" s="6" t="s">
        <v>35</v>
      </c>
      <c r="B99" s="5">
        <f>B24</f>
        <v>8000000</v>
      </c>
      <c r="C99" s="18">
        <f>B99-C104</f>
        <v>7990758.261943249</v>
      </c>
      <c r="D99" s="5">
        <f>C99-D104</f>
        <v>7981431.8079543114</v>
      </c>
      <c r="E99" s="5">
        <f t="shared" ref="E99:BO99" si="78">D99-E104</f>
        <v>7972019.8614704749</v>
      </c>
      <c r="F99" s="5">
        <f>E99-F104</f>
        <v>7962521.6388105359</v>
      </c>
      <c r="G99" s="5">
        <f t="shared" si="78"/>
        <v>7952936.3491095481</v>
      </c>
      <c r="H99" s="5">
        <f t="shared" si="78"/>
        <v>7943263.1942529678</v>
      </c>
      <c r="I99" s="5">
        <f t="shared" si="78"/>
        <v>7933501.368810202</v>
      </c>
      <c r="J99" s="5">
        <f t="shared" si="78"/>
        <v>7923650.0599675439</v>
      </c>
      <c r="K99" s="5">
        <f t="shared" si="78"/>
        <v>7913708.4474604949</v>
      </c>
      <c r="L99" s="5">
        <f t="shared" si="78"/>
        <v>7903675.7035054648</v>
      </c>
      <c r="M99" s="5">
        <f t="shared" si="78"/>
        <v>7893550.9927308466</v>
      </c>
      <c r="N99" s="5">
        <f t="shared" si="78"/>
        <v>7883333.4721074617</v>
      </c>
      <c r="O99" s="5">
        <f t="shared" si="78"/>
        <v>7873022.290878362</v>
      </c>
      <c r="P99" s="5">
        <f t="shared" si="78"/>
        <v>7862616.5904879961</v>
      </c>
      <c r="Q99" s="5">
        <f t="shared" si="78"/>
        <v>7852115.5045107184</v>
      </c>
      <c r="R99" s="5">
        <f t="shared" si="78"/>
        <v>7841518.1585786492</v>
      </c>
      <c r="S99" s="5">
        <f t="shared" si="78"/>
        <v>7830823.6703088693</v>
      </c>
      <c r="T99" s="5">
        <f t="shared" si="78"/>
        <v>7820031.1492299493</v>
      </c>
      <c r="U99" s="5">
        <f t="shared" si="78"/>
        <v>7809139.6967078056</v>
      </c>
      <c r="V99" s="5">
        <f t="shared" si="78"/>
        <v>7798148.4058708763</v>
      </c>
      <c r="W99" s="5">
        <f t="shared" si="78"/>
        <v>7787056.3615346085</v>
      </c>
      <c r="X99" s="5">
        <f t="shared" si="78"/>
        <v>7775862.6401252579</v>
      </c>
      <c r="Y99" s="5">
        <f t="shared" si="78"/>
        <v>7764566.309602988</v>
      </c>
      <c r="Z99" s="5">
        <f t="shared" si="78"/>
        <v>7753166.4293842642</v>
      </c>
      <c r="AA99" s="5">
        <f t="shared" si="78"/>
        <v>7741662.0502635352</v>
      </c>
      <c r="AB99" s="5">
        <f t="shared" si="78"/>
        <v>7730052.2143342001</v>
      </c>
      <c r="AC99" s="5">
        <f t="shared" si="78"/>
        <v>7718335.9549088459</v>
      </c>
      <c r="AD99" s="5">
        <f t="shared" si="78"/>
        <v>7706512.2964387592</v>
      </c>
      <c r="AE99" s="5">
        <f t="shared" si="78"/>
        <v>7694580.2544326968</v>
      </c>
      <c r="AF99" s="5">
        <f t="shared" si="78"/>
        <v>7682538.8353749122</v>
      </c>
      <c r="AG99" s="5">
        <f t="shared" si="78"/>
        <v>7670387.0366424313</v>
      </c>
      <c r="AH99" s="5">
        <f t="shared" si="78"/>
        <v>7658123.8464215687</v>
      </c>
      <c r="AI99" s="5">
        <f t="shared" si="78"/>
        <v>7645748.2436236814</v>
      </c>
      <c r="AJ99" s="5">
        <f t="shared" si="78"/>
        <v>7633259.1978001473</v>
      </c>
      <c r="AK99" s="5">
        <f t="shared" si="78"/>
        <v>7620655.6690565646</v>
      </c>
      <c r="AL99" s="5">
        <f t="shared" si="78"/>
        <v>7607936.6079661651</v>
      </c>
      <c r="AM99" s="5">
        <f t="shared" si="78"/>
        <v>7595100.9554824373</v>
      </c>
      <c r="AN99" s="5">
        <f t="shared" si="78"/>
        <v>7582147.642850942</v>
      </c>
      <c r="AO99" s="5">
        <f t="shared" si="78"/>
        <v>7569075.5915203243</v>
      </c>
      <c r="AP99" s="5">
        <f t="shared" si="78"/>
        <v>7555883.7130525094</v>
      </c>
      <c r="AQ99" s="5">
        <f t="shared" si="78"/>
        <v>7542570.9090320729</v>
      </c>
      <c r="AR99" s="5">
        <f t="shared" si="78"/>
        <v>7529136.0709747821</v>
      </c>
      <c r="AS99" s="5">
        <f t="shared" si="78"/>
        <v>7515578.0802352997</v>
      </c>
      <c r="AT99" s="5">
        <f t="shared" si="78"/>
        <v>7501895.8079140391</v>
      </c>
      <c r="AU99" s="5">
        <f t="shared" si="78"/>
        <v>7488088.1147631668</v>
      </c>
      <c r="AV99" s="5">
        <f t="shared" si="78"/>
        <v>7474153.8510917444</v>
      </c>
      <c r="AW99" s="5">
        <f t="shared" si="78"/>
        <v>7460091.8566700006</v>
      </c>
      <c r="AX99" s="5">
        <f t="shared" si="78"/>
        <v>7445900.9606327247</v>
      </c>
      <c r="AY99" s="5">
        <f t="shared" si="78"/>
        <v>7431579.981381773</v>
      </c>
      <c r="AZ99" s="5">
        <f t="shared" si="78"/>
        <v>7417127.7264876878</v>
      </c>
      <c r="BA99" s="5">
        <f t="shared" si="78"/>
        <v>7402542.9925904069</v>
      </c>
      <c r="BB99" s="5">
        <f t="shared" si="78"/>
        <v>7387824.5652990676</v>
      </c>
      <c r="BC99" s="5">
        <f t="shared" si="78"/>
        <v>7372971.2190908911</v>
      </c>
      <c r="BD99" s="5">
        <f t="shared" si="78"/>
        <v>7357981.7172091398</v>
      </c>
      <c r="BE99" s="5">
        <f t="shared" si="78"/>
        <v>7342854.8115601391</v>
      </c>
      <c r="BF99" s="5">
        <f t="shared" si="78"/>
        <v>7327589.2426093556</v>
      </c>
      <c r="BG99" s="5">
        <f t="shared" si="78"/>
        <v>7312183.7392765237</v>
      </c>
      <c r="BH99" s="5">
        <f t="shared" si="78"/>
        <v>7296637.0188298076</v>
      </c>
      <c r="BI99" s="5">
        <f t="shared" si="78"/>
        <v>7280947.7867789967</v>
      </c>
      <c r="BJ99" s="5">
        <f t="shared" si="78"/>
        <v>7265114.7367677195</v>
      </c>
      <c r="BK99" s="5">
        <f t="shared" si="78"/>
        <v>7249136.550464672</v>
      </c>
      <c r="BL99" s="5">
        <f t="shared" si="78"/>
        <v>7233011.8974538473</v>
      </c>
      <c r="BM99" s="5">
        <f t="shared" si="78"/>
        <v>7216739.4351237565</v>
      </c>
      <c r="BN99" s="5">
        <f t="shared" si="78"/>
        <v>7200317.8085556393</v>
      </c>
      <c r="BO99" s="5">
        <f t="shared" si="78"/>
        <v>7183745.6504106484</v>
      </c>
      <c r="BP99" s="5">
        <f t="shared" ref="BP99:EA99" si="79">BO99-BP104</f>
        <v>7167021.5808159951</v>
      </c>
      <c r="BQ99" s="5">
        <f t="shared" si="79"/>
        <v>7150144.2072500568</v>
      </c>
      <c r="BR99" s="5">
        <f t="shared" si="79"/>
        <v>7133112.124426431</v>
      </c>
      <c r="BS99" s="5">
        <f t="shared" si="79"/>
        <v>7115923.9141769223</v>
      </c>
      <c r="BT99" s="5">
        <f t="shared" si="79"/>
        <v>7098578.1453334596</v>
      </c>
      <c r="BU99" s="5">
        <f t="shared" si="79"/>
        <v>7081073.3736089319</v>
      </c>
      <c r="BV99" s="5">
        <f t="shared" si="79"/>
        <v>7063408.1414769292</v>
      </c>
      <c r="BW99" s="5">
        <f t="shared" si="79"/>
        <v>7045580.9780503828</v>
      </c>
      <c r="BX99" s="5">
        <f t="shared" si="79"/>
        <v>7027590.3989590937</v>
      </c>
      <c r="BY99" s="5">
        <f t="shared" si="79"/>
        <v>7009434.9062261339</v>
      </c>
      <c r="BZ99" s="5">
        <f t="shared" si="79"/>
        <v>6991112.9881431218</v>
      </c>
      <c r="CA99" s="5">
        <f t="shared" si="79"/>
        <v>6972623.1191443494</v>
      </c>
      <c r="CB99" s="5">
        <f t="shared" si="79"/>
        <v>6953963.7596797543</v>
      </c>
      <c r="CC99" s="5">
        <f t="shared" si="79"/>
        <v>6935133.3560867338</v>
      </c>
      <c r="CD99" s="5">
        <f t="shared" si="79"/>
        <v>6916130.3404607773</v>
      </c>
      <c r="CE99" s="5">
        <f t="shared" si="79"/>
        <v>6896953.1305249166</v>
      </c>
      <c r="CF99" s="5">
        <f t="shared" si="79"/>
        <v>6877600.129497977</v>
      </c>
      <c r="CG99" s="5">
        <f t="shared" si="79"/>
        <v>6858069.7259616237</v>
      </c>
      <c r="CH99" s="5">
        <f t="shared" si="79"/>
        <v>6838360.2937261872</v>
      </c>
      <c r="CI99" s="5">
        <f t="shared" si="79"/>
        <v>6818470.191695259</v>
      </c>
      <c r="CJ99" s="5">
        <f t="shared" si="79"/>
        <v>6798397.763729048</v>
      </c>
      <c r="CK99" s="5">
        <f t="shared" si="79"/>
        <v>6778141.3385064797</v>
      </c>
      <c r="CL99" s="5">
        <f t="shared" si="79"/>
        <v>6757699.2293860381</v>
      </c>
      <c r="CM99" s="5">
        <f t="shared" si="79"/>
        <v>6737069.7342653256</v>
      </c>
      <c r="CN99" s="5">
        <f t="shared" si="79"/>
        <v>6716251.13543934</v>
      </c>
      <c r="CO99" s="5">
        <f t="shared" si="79"/>
        <v>6695241.6994574498</v>
      </c>
      <c r="CP99" s="5">
        <f t="shared" si="79"/>
        <v>6674039.6769790584</v>
      </c>
      <c r="CQ99" s="5">
        <f t="shared" si="79"/>
        <v>6652643.302627949</v>
      </c>
      <c r="CR99" s="5">
        <f t="shared" si="79"/>
        <v>6631050.7948452877</v>
      </c>
      <c r="CS99" s="5">
        <f t="shared" si="79"/>
        <v>6609260.3557412848</v>
      </c>
      <c r="CT99" s="5">
        <f t="shared" si="79"/>
        <v>6587270.1709454954</v>
      </c>
      <c r="CU99" s="5">
        <f t="shared" si="79"/>
        <v>6565078.4094557445</v>
      </c>
      <c r="CV99" s="5">
        <f t="shared" si="79"/>
        <v>6542683.223485671</v>
      </c>
      <c r="CW99" s="5">
        <f t="shared" si="79"/>
        <v>6520082.7483108714</v>
      </c>
      <c r="CX99" s="5">
        <f t="shared" si="79"/>
        <v>6497275.1021136362</v>
      </c>
      <c r="CY99" s="5">
        <f t="shared" si="79"/>
        <v>6474258.3858262599</v>
      </c>
      <c r="CZ99" s="5">
        <f t="shared" si="79"/>
        <v>6451030.6829729164</v>
      </c>
      <c r="DA99" s="5">
        <f t="shared" si="79"/>
        <v>6427590.0595100839</v>
      </c>
      <c r="DB99" s="5">
        <f t="shared" si="79"/>
        <v>6403934.5636655083</v>
      </c>
      <c r="DC99" s="5">
        <f t="shared" si="79"/>
        <v>6380062.2257756907</v>
      </c>
      <c r="DD99" s="5">
        <f t="shared" si="79"/>
        <v>6355971.0581218833</v>
      </c>
      <c r="DE99" s="5">
        <f t="shared" si="79"/>
        <v>6331659.0547645828</v>
      </c>
      <c r="DF99" s="5">
        <f t="shared" si="79"/>
        <v>6307124.1913765073</v>
      </c>
      <c r="DG99" s="5">
        <f t="shared" si="79"/>
        <v>6282364.4250740409</v>
      </c>
      <c r="DH99" s="5">
        <f t="shared" si="79"/>
        <v>6257377.694247135</v>
      </c>
      <c r="DI99" s="5">
        <f t="shared" si="79"/>
        <v>6232161.9183876496</v>
      </c>
      <c r="DJ99" s="5">
        <f t="shared" si="79"/>
        <v>6206714.9979161182</v>
      </c>
      <c r="DK99" s="5">
        <f t="shared" si="79"/>
        <v>6181034.8140069311</v>
      </c>
      <c r="DL99" s="5">
        <f t="shared" si="79"/>
        <v>6155119.2284119101</v>
      </c>
      <c r="DM99" s="5">
        <f t="shared" si="79"/>
        <v>6128966.0832822677</v>
      </c>
      <c r="DN99" s="5">
        <f t="shared" si="79"/>
        <v>6102573.2009889372</v>
      </c>
      <c r="DO99" s="5">
        <f t="shared" si="79"/>
        <v>6075938.3839412509</v>
      </c>
      <c r="DP99" s="5">
        <f t="shared" si="79"/>
        <v>6049059.414403961</v>
      </c>
      <c r="DQ99" s="5">
        <f t="shared" si="79"/>
        <v>6021934.0543125793</v>
      </c>
      <c r="DR99" s="5">
        <f t="shared" si="79"/>
        <v>5994560.0450870264</v>
      </c>
      <c r="DS99" s="5">
        <f t="shared" si="79"/>
        <v>5966935.107443573</v>
      </c>
      <c r="DT99" s="5">
        <f t="shared" si="79"/>
        <v>5939056.9412050545</v>
      </c>
      <c r="DU99" s="5">
        <f t="shared" si="79"/>
        <v>5910923.2251093499</v>
      </c>
      <c r="DV99" s="5">
        <f t="shared" si="79"/>
        <v>5882531.616616101</v>
      </c>
      <c r="DW99" s="5">
        <f t="shared" si="79"/>
        <v>5853879.7517116638</v>
      </c>
      <c r="DX99" s="5">
        <f t="shared" si="79"/>
        <v>5824965.2447122699</v>
      </c>
      <c r="DY99" s="5">
        <f t="shared" si="79"/>
        <v>5795785.6880653808</v>
      </c>
      <c r="DZ99" s="5">
        <f t="shared" si="79"/>
        <v>5766338.6521492293</v>
      </c>
      <c r="EA99" s="5">
        <f t="shared" si="79"/>
        <v>5736621.6850705128</v>
      </c>
      <c r="EB99" s="5">
        <f t="shared" ref="EB99:GM99" si="80">EA99-EB104</f>
        <v>5706632.3124602409</v>
      </c>
      <c r="EC99" s="5">
        <f t="shared" si="80"/>
        <v>5676368.0372677082</v>
      </c>
      <c r="ED99" s="5">
        <f t="shared" si="80"/>
        <v>5645826.3395525776</v>
      </c>
      <c r="EE99" s="5">
        <f t="shared" si="80"/>
        <v>5615004.6762750586</v>
      </c>
      <c r="EF99" s="5">
        <f t="shared" si="80"/>
        <v>5583900.4810841624</v>
      </c>
      <c r="EG99" s="5">
        <f t="shared" si="80"/>
        <v>5552511.1641040156</v>
      </c>
      <c r="EH99" s="5">
        <f t="shared" si="80"/>
        <v>5520834.1117182178</v>
      </c>
      <c r="EI99" s="5">
        <f t="shared" si="80"/>
        <v>5488866.6863522166</v>
      </c>
      <c r="EJ99" s="5">
        <f t="shared" si="80"/>
        <v>5456606.2262536939</v>
      </c>
      <c r="EK99" s="5">
        <f t="shared" si="80"/>
        <v>5424050.0452709347</v>
      </c>
      <c r="EL99" s="5">
        <f t="shared" si="80"/>
        <v>5391195.4326291671</v>
      </c>
      <c r="EM99" s="5">
        <f t="shared" si="80"/>
        <v>5358039.6527048498</v>
      </c>
      <c r="EN99" s="5">
        <f t="shared" si="80"/>
        <v>5324579.9447978931</v>
      </c>
      <c r="EO99" s="5">
        <f t="shared" si="80"/>
        <v>5290813.5229017893</v>
      </c>
      <c r="EP99" s="5">
        <f t="shared" si="80"/>
        <v>5256737.5754716378</v>
      </c>
      <c r="EQ99" s="5">
        <f t="shared" si="80"/>
        <v>5222349.2651900435</v>
      </c>
      <c r="ER99" s="5">
        <f t="shared" si="80"/>
        <v>5187645.7287308676</v>
      </c>
      <c r="ES99" s="5">
        <f t="shared" si="80"/>
        <v>5152624.0765208164</v>
      </c>
      <c r="ET99" s="5">
        <f t="shared" si="80"/>
        <v>5117281.3924988396</v>
      </c>
      <c r="EU99" s="5">
        <f t="shared" si="80"/>
        <v>5081614.7338733282</v>
      </c>
      <c r="EV99" s="5">
        <f t="shared" si="80"/>
        <v>5045621.1308770822</v>
      </c>
      <c r="EW99" s="5">
        <f t="shared" si="80"/>
        <v>5009297.5865200376</v>
      </c>
      <c r="EX99" s="5">
        <f t="shared" si="80"/>
        <v>4972641.0763397198</v>
      </c>
      <c r="EY99" s="5">
        <f t="shared" si="80"/>
        <v>4935648.5481494162</v>
      </c>
      <c r="EZ99" s="5">
        <f t="shared" si="80"/>
        <v>4898316.9217840349</v>
      </c>
      <c r="FA99" s="5">
        <f t="shared" si="80"/>
        <v>4860643.0888436371</v>
      </c>
      <c r="FB99" s="5">
        <f t="shared" si="80"/>
        <v>4822623.9124346189</v>
      </c>
      <c r="FC99" s="5">
        <f t="shared" si="80"/>
        <v>4784256.226908518</v>
      </c>
      <c r="FD99" s="5">
        <f t="shared" si="80"/>
        <v>4745536.8375984281</v>
      </c>
      <c r="FE99" s="5">
        <f t="shared" si="80"/>
        <v>4706462.5205529956</v>
      </c>
      <c r="FF99" s="5">
        <f t="shared" si="80"/>
        <v>4667030.0222679805</v>
      </c>
      <c r="FG99" s="5">
        <f t="shared" si="80"/>
        <v>4627236.0594153525</v>
      </c>
      <c r="FH99" s="5">
        <f t="shared" si="80"/>
        <v>4587077.3185699088</v>
      </c>
      <c r="FI99" s="5">
        <f t="shared" si="80"/>
        <v>4546550.4559333818</v>
      </c>
      <c r="FJ99" s="5">
        <f t="shared" si="80"/>
        <v>4505652.0970560201</v>
      </c>
      <c r="FK99" s="5">
        <f t="shared" si="80"/>
        <v>4464378.836555616</v>
      </c>
      <c r="FL99" s="5">
        <f t="shared" si="80"/>
        <v>4422727.2378339581</v>
      </c>
      <c r="FM99" s="5">
        <f t="shared" si="80"/>
        <v>4380693.8327906849</v>
      </c>
      <c r="FN99" s="5">
        <f t="shared" si="80"/>
        <v>4338275.1215345152</v>
      </c>
      <c r="FO99" s="5">
        <f t="shared" si="80"/>
        <v>4295467.57209183</v>
      </c>
      <c r="FP99" s="5">
        <f t="shared" si="80"/>
        <v>4252267.6201125868</v>
      </c>
      <c r="FQ99" s="5">
        <f t="shared" si="80"/>
        <v>4208671.6685735341</v>
      </c>
      <c r="FR99" s="5">
        <f t="shared" si="80"/>
        <v>4164676.0874787071</v>
      </c>
      <c r="FS99" s="5">
        <f t="shared" si="80"/>
        <v>4120277.2135571772</v>
      </c>
      <c r="FT99" s="5">
        <f t="shared" si="80"/>
        <v>4075471.3499580333</v>
      </c>
      <c r="FU99" s="5">
        <f t="shared" si="80"/>
        <v>4030254.7659425642</v>
      </c>
      <c r="FV99" s="5">
        <f t="shared" si="80"/>
        <v>3984623.6965736197</v>
      </c>
      <c r="FW99" s="5">
        <f t="shared" si="80"/>
        <v>3938574.3424021266</v>
      </c>
      <c r="FX99" s="5">
        <f t="shared" si="80"/>
        <v>3892102.8691507285</v>
      </c>
      <c r="FY99" s="5">
        <f t="shared" si="80"/>
        <v>3845205.4073945256</v>
      </c>
      <c r="FZ99" s="5">
        <f t="shared" si="80"/>
        <v>3797878.0522388909</v>
      </c>
      <c r="GA99" s="5">
        <f t="shared" si="80"/>
        <v>3750116.8629943295</v>
      </c>
      <c r="GB99" s="5">
        <f t="shared" si="80"/>
        <v>3701917.8628483596</v>
      </c>
      <c r="GC99" s="5">
        <f t="shared" si="80"/>
        <v>3653277.0385343852</v>
      </c>
      <c r="GD99" s="5">
        <f t="shared" si="80"/>
        <v>3604190.3399975323</v>
      </c>
      <c r="GE99" s="5">
        <f t="shared" si="80"/>
        <v>3554653.6800574251</v>
      </c>
      <c r="GF99" s="5">
        <f t="shared" si="80"/>
        <v>3504662.9340678668</v>
      </c>
      <c r="GG99" s="5">
        <f t="shared" si="80"/>
        <v>3454213.9395734044</v>
      </c>
      <c r="GH99" s="5">
        <f t="shared" si="80"/>
        <v>3403302.4959627427</v>
      </c>
      <c r="GI99" s="5">
        <f t="shared" si="80"/>
        <v>3351924.3641189835</v>
      </c>
      <c r="GJ99" s="5">
        <f t="shared" si="80"/>
        <v>3300075.2660666564</v>
      </c>
      <c r="GK99" s="5">
        <f t="shared" si="80"/>
        <v>3247750.8846155163</v>
      </c>
      <c r="GL99" s="5">
        <f t="shared" si="80"/>
        <v>3194946.8630010742</v>
      </c>
      <c r="GM99" s="5">
        <f t="shared" si="80"/>
        <v>3141658.8045218326</v>
      </c>
      <c r="GN99" s="5">
        <f t="shared" ref="GN99:IY99" si="81">GM99-GN104</f>
        <v>3087882.2721731984</v>
      </c>
      <c r="GO99" s="5">
        <f t="shared" si="81"/>
        <v>3033612.7882780349</v>
      </c>
      <c r="GP99" s="5">
        <f t="shared" si="81"/>
        <v>2978845.8341138326</v>
      </c>
      <c r="GQ99" s="5">
        <f t="shared" si="81"/>
        <v>2923576.849536458</v>
      </c>
      <c r="GR99" s="5">
        <f t="shared" si="81"/>
        <v>2867801.2326004575</v>
      </c>
      <c r="GS99" s="5">
        <f t="shared" si="81"/>
        <v>2811514.3391758772</v>
      </c>
      <c r="GT99" s="5">
        <f t="shared" si="81"/>
        <v>2754711.4825615715</v>
      </c>
      <c r="GU99" s="5">
        <f t="shared" si="81"/>
        <v>2697387.9330949681</v>
      </c>
      <c r="GV99" s="5">
        <f t="shared" si="81"/>
        <v>2639538.9177582539</v>
      </c>
      <c r="GW99" s="5">
        <f t="shared" si="81"/>
        <v>2581159.6197809535</v>
      </c>
      <c r="GX99" s="5">
        <f t="shared" si="81"/>
        <v>2522245.1782388613</v>
      </c>
      <c r="GY99" s="5">
        <f t="shared" si="81"/>
        <v>2462790.6876492994</v>
      </c>
      <c r="GZ99" s="5">
        <f t="shared" si="81"/>
        <v>2402791.1975626666</v>
      </c>
      <c r="HA99" s="5">
        <f t="shared" si="81"/>
        <v>2342241.7121502399</v>
      </c>
      <c r="HB99" s="5">
        <f t="shared" si="81"/>
        <v>2281137.189788199</v>
      </c>
      <c r="HC99" s="5">
        <f t="shared" si="81"/>
        <v>2219472.5426378394</v>
      </c>
      <c r="HD99" s="5">
        <f t="shared" si="81"/>
        <v>2157242.636221935</v>
      </c>
      <c r="HE99" s="5">
        <f t="shared" si="81"/>
        <v>2094442.2889972182</v>
      </c>
      <c r="HF99" s="5">
        <f t="shared" si="81"/>
        <v>2031066.2719229416</v>
      </c>
      <c r="HG99" s="5">
        <f t="shared" si="81"/>
        <v>1967109.308025484</v>
      </c>
      <c r="HH99" s="5">
        <f t="shared" si="81"/>
        <v>1902566.0719589663</v>
      </c>
      <c r="HI99" s="5">
        <f t="shared" si="81"/>
        <v>1837431.189561839</v>
      </c>
      <c r="HJ99" s="5">
        <f t="shared" si="81"/>
        <v>1771699.2374094047</v>
      </c>
      <c r="HK99" s="5">
        <f t="shared" si="81"/>
        <v>1705364.7423622396</v>
      </c>
      <c r="HL99" s="5">
        <f t="shared" si="81"/>
        <v>1638422.1811104757</v>
      </c>
      <c r="HM99" s="5">
        <f t="shared" si="81"/>
        <v>1570865.9797139037</v>
      </c>
      <c r="HN99" s="5">
        <f t="shared" si="81"/>
        <v>1502690.5131378633</v>
      </c>
      <c r="HO99" s="5">
        <f t="shared" si="81"/>
        <v>1433890.1047848759</v>
      </c>
      <c r="HP99" s="5">
        <f t="shared" si="81"/>
        <v>1364459.026021986</v>
      </c>
      <c r="HQ99" s="5">
        <f t="shared" si="81"/>
        <v>1294391.4957037696</v>
      </c>
      <c r="HR99" s="5">
        <f t="shared" si="81"/>
        <v>1223681.6796909696</v>
      </c>
      <c r="HS99" s="5">
        <f t="shared" si="81"/>
        <v>1152323.6903647189</v>
      </c>
      <c r="HT99" s="5">
        <f t="shared" si="81"/>
        <v>1080311.5861363108</v>
      </c>
      <c r="HU99" s="5">
        <f t="shared" si="81"/>
        <v>1007639.3709524758</v>
      </c>
      <c r="HV99" s="5">
        <f t="shared" si="81"/>
        <v>934300.99379612226</v>
      </c>
      <c r="HW99" s="5">
        <f t="shared" si="81"/>
        <v>860290.3481825022</v>
      </c>
      <c r="HX99" s="5">
        <f t="shared" si="81"/>
        <v>785601.27165075729</v>
      </c>
      <c r="HY99" s="5">
        <f t="shared" si="81"/>
        <v>710227.54525080463</v>
      </c>
      <c r="HZ99" s="5">
        <f t="shared" si="81"/>
        <v>634162.89302551909</v>
      </c>
      <c r="IA99" s="5">
        <f t="shared" si="81"/>
        <v>557400.98148816847</v>
      </c>
      <c r="IB99" s="5">
        <f t="shared" si="81"/>
        <v>479935.41909505881</v>
      </c>
      <c r="IC99" s="5">
        <f t="shared" si="81"/>
        <v>401759.75571334566</v>
      </c>
      <c r="ID99" s="5">
        <f t="shared" si="81"/>
        <v>322867.48208396678</v>
      </c>
      <c r="IE99" s="5">
        <f t="shared" si="81"/>
        <v>243252.02927965194</v>
      </c>
      <c r="IF99" s="5">
        <f t="shared" si="81"/>
        <v>162906.76815796419</v>
      </c>
      <c r="IG99" s="5">
        <f t="shared" si="81"/>
        <v>81825.008809327657</v>
      </c>
      <c r="IH99" s="5">
        <f t="shared" si="81"/>
        <v>-4.71482053399086E-9</v>
      </c>
      <c r="II99" s="5">
        <f t="shared" si="81"/>
        <v>-4.71482053399086E-9</v>
      </c>
      <c r="IJ99" s="5">
        <f t="shared" si="81"/>
        <v>-4.71482053399086E-9</v>
      </c>
      <c r="IK99" s="5">
        <f t="shared" si="81"/>
        <v>-4.71482053399086E-9</v>
      </c>
      <c r="IL99" s="5">
        <f t="shared" si="81"/>
        <v>-4.71482053399086E-9</v>
      </c>
      <c r="IM99" s="5">
        <f t="shared" si="81"/>
        <v>-4.71482053399086E-9</v>
      </c>
      <c r="IN99" s="5">
        <f t="shared" si="81"/>
        <v>-4.71482053399086E-9</v>
      </c>
      <c r="IO99" s="5">
        <f t="shared" si="81"/>
        <v>-4.71482053399086E-9</v>
      </c>
      <c r="IP99" s="5">
        <f t="shared" si="81"/>
        <v>-4.71482053399086E-9</v>
      </c>
      <c r="IQ99" s="5">
        <f t="shared" si="81"/>
        <v>-4.71482053399086E-9</v>
      </c>
      <c r="IR99" s="5">
        <f t="shared" si="81"/>
        <v>-4.71482053399086E-9</v>
      </c>
      <c r="IS99" s="5">
        <f t="shared" si="81"/>
        <v>-4.71482053399086E-9</v>
      </c>
      <c r="IT99" s="5">
        <f t="shared" si="81"/>
        <v>-4.71482053399086E-9</v>
      </c>
      <c r="IU99" s="5">
        <f t="shared" si="81"/>
        <v>-4.71482053399086E-9</v>
      </c>
      <c r="IV99" s="5">
        <f t="shared" si="81"/>
        <v>-4.71482053399086E-9</v>
      </c>
      <c r="IW99" s="5">
        <f t="shared" si="81"/>
        <v>-4.71482053399086E-9</v>
      </c>
      <c r="IX99" s="5">
        <f t="shared" si="81"/>
        <v>-4.71482053399086E-9</v>
      </c>
      <c r="IY99" s="5">
        <f t="shared" si="81"/>
        <v>-4.71482053399086E-9</v>
      </c>
      <c r="IZ99" s="5">
        <f t="shared" ref="IZ99:LK99" si="82">IY99-IZ104</f>
        <v>-4.71482053399086E-9</v>
      </c>
      <c r="JA99" s="5">
        <f t="shared" si="82"/>
        <v>-4.71482053399086E-9</v>
      </c>
      <c r="JB99" s="5">
        <f t="shared" si="82"/>
        <v>-4.71482053399086E-9</v>
      </c>
      <c r="JC99" s="5">
        <f t="shared" si="82"/>
        <v>-4.71482053399086E-9</v>
      </c>
      <c r="JD99" s="5">
        <f t="shared" si="82"/>
        <v>-4.71482053399086E-9</v>
      </c>
      <c r="JE99" s="5">
        <f t="shared" si="82"/>
        <v>-4.71482053399086E-9</v>
      </c>
      <c r="JF99" s="5">
        <f t="shared" si="82"/>
        <v>-4.71482053399086E-9</v>
      </c>
      <c r="JG99" s="5">
        <f t="shared" si="82"/>
        <v>-4.71482053399086E-9</v>
      </c>
      <c r="JH99" s="5">
        <f t="shared" si="82"/>
        <v>-4.71482053399086E-9</v>
      </c>
      <c r="JI99" s="5">
        <f t="shared" si="82"/>
        <v>-4.71482053399086E-9</v>
      </c>
      <c r="JJ99" s="5">
        <f t="shared" si="82"/>
        <v>-4.71482053399086E-9</v>
      </c>
      <c r="JK99" s="5">
        <f t="shared" si="82"/>
        <v>-4.71482053399086E-9</v>
      </c>
      <c r="JL99" s="5">
        <f t="shared" si="82"/>
        <v>-4.71482053399086E-9</v>
      </c>
      <c r="JM99" s="5">
        <f t="shared" si="82"/>
        <v>-4.71482053399086E-9</v>
      </c>
      <c r="JN99" s="5">
        <f t="shared" si="82"/>
        <v>-4.71482053399086E-9</v>
      </c>
      <c r="JO99" s="5">
        <f t="shared" si="82"/>
        <v>-4.71482053399086E-9</v>
      </c>
      <c r="JP99" s="5">
        <f t="shared" si="82"/>
        <v>-4.71482053399086E-9</v>
      </c>
      <c r="JQ99" s="5">
        <f t="shared" si="82"/>
        <v>-4.71482053399086E-9</v>
      </c>
      <c r="JR99" s="5">
        <f t="shared" si="82"/>
        <v>-4.71482053399086E-9</v>
      </c>
      <c r="JS99" s="5">
        <f t="shared" si="82"/>
        <v>-4.71482053399086E-9</v>
      </c>
      <c r="JT99" s="5">
        <f t="shared" si="82"/>
        <v>-4.71482053399086E-9</v>
      </c>
      <c r="JU99" s="5">
        <f t="shared" si="82"/>
        <v>-4.71482053399086E-9</v>
      </c>
      <c r="JV99" s="5">
        <f t="shared" si="82"/>
        <v>-4.71482053399086E-9</v>
      </c>
      <c r="JW99" s="5">
        <f t="shared" si="82"/>
        <v>-4.71482053399086E-9</v>
      </c>
      <c r="JX99" s="5">
        <f t="shared" si="82"/>
        <v>-4.71482053399086E-9</v>
      </c>
      <c r="JY99" s="5">
        <f t="shared" si="82"/>
        <v>-4.71482053399086E-9</v>
      </c>
      <c r="JZ99" s="5">
        <f t="shared" si="82"/>
        <v>-4.71482053399086E-9</v>
      </c>
      <c r="KA99" s="5">
        <f t="shared" si="82"/>
        <v>-4.71482053399086E-9</v>
      </c>
      <c r="KB99" s="5">
        <f t="shared" si="82"/>
        <v>-4.71482053399086E-9</v>
      </c>
      <c r="KC99" s="5">
        <f t="shared" si="82"/>
        <v>-4.71482053399086E-9</v>
      </c>
      <c r="KD99" s="5">
        <f t="shared" si="82"/>
        <v>-4.71482053399086E-9</v>
      </c>
      <c r="KE99" s="5">
        <f t="shared" si="82"/>
        <v>-4.71482053399086E-9</v>
      </c>
      <c r="KF99" s="5">
        <f t="shared" si="82"/>
        <v>-4.71482053399086E-9</v>
      </c>
      <c r="KG99" s="5">
        <f t="shared" si="82"/>
        <v>-4.71482053399086E-9</v>
      </c>
      <c r="KH99" s="5">
        <f t="shared" si="82"/>
        <v>-4.71482053399086E-9</v>
      </c>
      <c r="KI99" s="5">
        <f t="shared" si="82"/>
        <v>-4.71482053399086E-9</v>
      </c>
      <c r="KJ99" s="5">
        <f t="shared" si="82"/>
        <v>-4.71482053399086E-9</v>
      </c>
      <c r="KK99" s="5">
        <f t="shared" si="82"/>
        <v>-4.71482053399086E-9</v>
      </c>
      <c r="KL99" s="5">
        <f t="shared" si="82"/>
        <v>-4.71482053399086E-9</v>
      </c>
      <c r="KM99" s="5">
        <f t="shared" si="82"/>
        <v>-4.71482053399086E-9</v>
      </c>
      <c r="KN99" s="5">
        <f t="shared" si="82"/>
        <v>-4.71482053399086E-9</v>
      </c>
      <c r="KO99" s="5">
        <f t="shared" si="82"/>
        <v>-4.71482053399086E-9</v>
      </c>
      <c r="KP99" s="5">
        <f t="shared" si="82"/>
        <v>-4.71482053399086E-9</v>
      </c>
      <c r="KQ99" s="5">
        <f t="shared" si="82"/>
        <v>-4.71482053399086E-9</v>
      </c>
      <c r="KR99" s="5">
        <f t="shared" si="82"/>
        <v>-4.71482053399086E-9</v>
      </c>
      <c r="KS99" s="5">
        <f t="shared" si="82"/>
        <v>-4.71482053399086E-9</v>
      </c>
      <c r="KT99" s="5">
        <f t="shared" si="82"/>
        <v>-4.71482053399086E-9</v>
      </c>
      <c r="KU99" s="5">
        <f t="shared" si="82"/>
        <v>-4.71482053399086E-9</v>
      </c>
      <c r="KV99" s="5">
        <f t="shared" si="82"/>
        <v>-4.71482053399086E-9</v>
      </c>
      <c r="KW99" s="5">
        <f t="shared" si="82"/>
        <v>-4.71482053399086E-9</v>
      </c>
      <c r="KX99" s="5">
        <f t="shared" si="82"/>
        <v>-4.71482053399086E-9</v>
      </c>
      <c r="KY99" s="5">
        <f t="shared" si="82"/>
        <v>-4.71482053399086E-9</v>
      </c>
      <c r="KZ99" s="5">
        <f t="shared" si="82"/>
        <v>-4.71482053399086E-9</v>
      </c>
      <c r="LA99" s="5">
        <f t="shared" si="82"/>
        <v>-4.71482053399086E-9</v>
      </c>
      <c r="LB99" s="5">
        <f t="shared" si="82"/>
        <v>-4.71482053399086E-9</v>
      </c>
      <c r="LC99" s="5">
        <f t="shared" si="82"/>
        <v>-4.71482053399086E-9</v>
      </c>
      <c r="LD99" s="5">
        <f t="shared" si="82"/>
        <v>-4.71482053399086E-9</v>
      </c>
      <c r="LE99" s="5">
        <f t="shared" si="82"/>
        <v>-4.71482053399086E-9</v>
      </c>
      <c r="LF99" s="5">
        <f t="shared" si="82"/>
        <v>-4.71482053399086E-9</v>
      </c>
      <c r="LG99" s="5">
        <f t="shared" si="82"/>
        <v>-4.71482053399086E-9</v>
      </c>
      <c r="LH99" s="5">
        <f t="shared" si="82"/>
        <v>-4.71482053399086E-9</v>
      </c>
      <c r="LI99" s="5">
        <f t="shared" si="82"/>
        <v>-4.71482053399086E-9</v>
      </c>
      <c r="LJ99" s="5">
        <f t="shared" si="82"/>
        <v>-4.71482053399086E-9</v>
      </c>
      <c r="LK99" s="5">
        <f t="shared" si="82"/>
        <v>-4.71482053399086E-9</v>
      </c>
      <c r="LL99" s="5">
        <f t="shared" ref="LL99:NW99" si="83">LK99-LL104</f>
        <v>-4.71482053399086E-9</v>
      </c>
      <c r="LM99" s="5">
        <f t="shared" si="83"/>
        <v>-4.71482053399086E-9</v>
      </c>
      <c r="LN99" s="5">
        <f t="shared" si="83"/>
        <v>-4.71482053399086E-9</v>
      </c>
      <c r="LO99" s="5">
        <f t="shared" si="83"/>
        <v>-4.71482053399086E-9</v>
      </c>
      <c r="LP99" s="5">
        <f t="shared" si="83"/>
        <v>-4.71482053399086E-9</v>
      </c>
      <c r="LQ99" s="5">
        <f t="shared" si="83"/>
        <v>-4.71482053399086E-9</v>
      </c>
      <c r="LR99" s="5">
        <f t="shared" si="83"/>
        <v>-4.71482053399086E-9</v>
      </c>
      <c r="LS99" s="5">
        <f t="shared" si="83"/>
        <v>-4.71482053399086E-9</v>
      </c>
      <c r="LT99" s="5">
        <f t="shared" si="83"/>
        <v>-4.71482053399086E-9</v>
      </c>
      <c r="LU99" s="5">
        <f t="shared" si="83"/>
        <v>-4.71482053399086E-9</v>
      </c>
      <c r="LV99" s="5">
        <f t="shared" si="83"/>
        <v>-4.71482053399086E-9</v>
      </c>
      <c r="LW99" s="5">
        <f t="shared" si="83"/>
        <v>-4.71482053399086E-9</v>
      </c>
      <c r="LX99" s="5">
        <f t="shared" si="83"/>
        <v>-4.71482053399086E-9</v>
      </c>
      <c r="LY99" s="5">
        <f t="shared" si="83"/>
        <v>-4.71482053399086E-9</v>
      </c>
      <c r="LZ99" s="5">
        <f t="shared" si="83"/>
        <v>-4.71482053399086E-9</v>
      </c>
      <c r="MA99" s="5">
        <f t="shared" si="83"/>
        <v>-4.71482053399086E-9</v>
      </c>
      <c r="MB99" s="5">
        <f t="shared" si="83"/>
        <v>-4.71482053399086E-9</v>
      </c>
      <c r="MC99" s="5">
        <f t="shared" si="83"/>
        <v>-4.71482053399086E-9</v>
      </c>
      <c r="MD99" s="5">
        <f t="shared" si="83"/>
        <v>-4.71482053399086E-9</v>
      </c>
      <c r="ME99" s="5">
        <f t="shared" si="83"/>
        <v>-4.71482053399086E-9</v>
      </c>
      <c r="MF99" s="5">
        <f t="shared" si="83"/>
        <v>-4.71482053399086E-9</v>
      </c>
      <c r="MG99" s="5">
        <f t="shared" si="83"/>
        <v>-4.71482053399086E-9</v>
      </c>
      <c r="MH99" s="5">
        <f t="shared" si="83"/>
        <v>-4.71482053399086E-9</v>
      </c>
      <c r="MI99" s="5">
        <f t="shared" si="83"/>
        <v>-4.71482053399086E-9</v>
      </c>
      <c r="MJ99" s="5">
        <f t="shared" si="83"/>
        <v>-4.71482053399086E-9</v>
      </c>
      <c r="MK99" s="5">
        <f t="shared" si="83"/>
        <v>-4.71482053399086E-9</v>
      </c>
      <c r="ML99" s="5">
        <f t="shared" si="83"/>
        <v>-4.71482053399086E-9</v>
      </c>
      <c r="MM99" s="5">
        <f t="shared" si="83"/>
        <v>-4.71482053399086E-9</v>
      </c>
      <c r="MN99" s="5">
        <f t="shared" si="83"/>
        <v>-4.71482053399086E-9</v>
      </c>
      <c r="MO99" s="5">
        <f t="shared" si="83"/>
        <v>-4.71482053399086E-9</v>
      </c>
      <c r="MP99" s="5">
        <f t="shared" si="83"/>
        <v>-4.71482053399086E-9</v>
      </c>
      <c r="MQ99" s="5">
        <f t="shared" si="83"/>
        <v>-4.71482053399086E-9</v>
      </c>
      <c r="MR99" s="5">
        <f t="shared" si="83"/>
        <v>-4.71482053399086E-9</v>
      </c>
      <c r="MS99" s="5">
        <f t="shared" si="83"/>
        <v>-4.71482053399086E-9</v>
      </c>
      <c r="MT99" s="5">
        <f t="shared" si="83"/>
        <v>-4.71482053399086E-9</v>
      </c>
      <c r="MU99" s="5">
        <f t="shared" si="83"/>
        <v>-4.71482053399086E-9</v>
      </c>
      <c r="MV99" s="5">
        <f t="shared" si="83"/>
        <v>-4.71482053399086E-9</v>
      </c>
      <c r="MW99" s="5">
        <f t="shared" si="83"/>
        <v>-4.71482053399086E-9</v>
      </c>
      <c r="MX99" s="5">
        <f t="shared" si="83"/>
        <v>-4.71482053399086E-9</v>
      </c>
      <c r="MY99" s="5">
        <f t="shared" si="83"/>
        <v>-4.71482053399086E-9</v>
      </c>
      <c r="MZ99" s="5">
        <f t="shared" si="83"/>
        <v>-4.71482053399086E-9</v>
      </c>
      <c r="NA99" s="5">
        <f t="shared" si="83"/>
        <v>-4.71482053399086E-9</v>
      </c>
      <c r="NB99" s="5">
        <f t="shared" si="83"/>
        <v>-4.71482053399086E-9</v>
      </c>
      <c r="NC99" s="5">
        <f t="shared" si="83"/>
        <v>-4.71482053399086E-9</v>
      </c>
      <c r="ND99" s="5">
        <f t="shared" si="83"/>
        <v>-4.71482053399086E-9</v>
      </c>
      <c r="NE99" s="5">
        <f t="shared" si="83"/>
        <v>-4.71482053399086E-9</v>
      </c>
      <c r="NF99" s="5">
        <f t="shared" si="83"/>
        <v>-4.71482053399086E-9</v>
      </c>
      <c r="NG99" s="5">
        <f t="shared" si="83"/>
        <v>-4.71482053399086E-9</v>
      </c>
      <c r="NH99" s="5">
        <f t="shared" si="83"/>
        <v>-4.71482053399086E-9</v>
      </c>
      <c r="NI99" s="5">
        <f t="shared" si="83"/>
        <v>-4.71482053399086E-9</v>
      </c>
      <c r="NJ99" s="5">
        <f t="shared" si="83"/>
        <v>-4.71482053399086E-9</v>
      </c>
      <c r="NK99" s="5">
        <f t="shared" si="83"/>
        <v>-4.71482053399086E-9</v>
      </c>
      <c r="NL99" s="5">
        <f t="shared" si="83"/>
        <v>-4.71482053399086E-9</v>
      </c>
      <c r="NM99" s="5">
        <f t="shared" si="83"/>
        <v>-4.71482053399086E-9</v>
      </c>
      <c r="NN99" s="5">
        <f t="shared" si="83"/>
        <v>-4.71482053399086E-9</v>
      </c>
      <c r="NO99" s="5">
        <f t="shared" si="83"/>
        <v>-4.71482053399086E-9</v>
      </c>
      <c r="NP99" s="5">
        <f t="shared" si="83"/>
        <v>-4.71482053399086E-9</v>
      </c>
      <c r="NQ99" s="5">
        <f t="shared" si="83"/>
        <v>-4.71482053399086E-9</v>
      </c>
      <c r="NR99" s="5">
        <f t="shared" si="83"/>
        <v>-4.71482053399086E-9</v>
      </c>
      <c r="NS99" s="5">
        <f t="shared" si="83"/>
        <v>-4.71482053399086E-9</v>
      </c>
      <c r="NT99" s="5">
        <f t="shared" si="83"/>
        <v>-4.71482053399086E-9</v>
      </c>
      <c r="NU99" s="5">
        <f t="shared" si="83"/>
        <v>-4.71482053399086E-9</v>
      </c>
      <c r="NV99" s="5">
        <f t="shared" si="83"/>
        <v>-4.71482053399086E-9</v>
      </c>
      <c r="NW99" s="5">
        <f t="shared" si="83"/>
        <v>-4.71482053399086E-9</v>
      </c>
      <c r="NX99" s="5">
        <f t="shared" ref="NX99:PF99" si="84">NW99-NX104</f>
        <v>-4.71482053399086E-9</v>
      </c>
      <c r="NY99" s="5">
        <f t="shared" si="84"/>
        <v>-4.71482053399086E-9</v>
      </c>
      <c r="NZ99" s="5">
        <f t="shared" si="84"/>
        <v>-4.71482053399086E-9</v>
      </c>
      <c r="OA99" s="5">
        <f t="shared" si="84"/>
        <v>-4.71482053399086E-9</v>
      </c>
      <c r="OB99" s="5">
        <f t="shared" si="84"/>
        <v>-4.71482053399086E-9</v>
      </c>
      <c r="OC99" s="5">
        <f t="shared" si="84"/>
        <v>-4.71482053399086E-9</v>
      </c>
      <c r="OD99" s="5">
        <f t="shared" si="84"/>
        <v>-4.71482053399086E-9</v>
      </c>
      <c r="OE99" s="5">
        <f t="shared" si="84"/>
        <v>-4.71482053399086E-9</v>
      </c>
      <c r="OF99" s="5">
        <f t="shared" si="84"/>
        <v>-4.71482053399086E-9</v>
      </c>
      <c r="OG99" s="5">
        <f t="shared" si="84"/>
        <v>-4.71482053399086E-9</v>
      </c>
      <c r="OH99" s="5">
        <f t="shared" si="84"/>
        <v>-4.71482053399086E-9</v>
      </c>
      <c r="OI99" s="5">
        <f t="shared" si="84"/>
        <v>-4.71482053399086E-9</v>
      </c>
      <c r="OJ99" s="5">
        <f t="shared" si="84"/>
        <v>-4.71482053399086E-9</v>
      </c>
      <c r="OK99" s="5">
        <f t="shared" si="84"/>
        <v>-4.71482053399086E-9</v>
      </c>
      <c r="OL99" s="5">
        <f t="shared" si="84"/>
        <v>-4.71482053399086E-9</v>
      </c>
      <c r="OM99" s="5">
        <f t="shared" si="84"/>
        <v>-4.71482053399086E-9</v>
      </c>
      <c r="ON99" s="5">
        <f t="shared" si="84"/>
        <v>-4.71482053399086E-9</v>
      </c>
      <c r="OO99" s="5">
        <f t="shared" si="84"/>
        <v>-4.71482053399086E-9</v>
      </c>
      <c r="OP99" s="5">
        <f t="shared" si="84"/>
        <v>-4.71482053399086E-9</v>
      </c>
      <c r="OQ99" s="5">
        <f t="shared" si="84"/>
        <v>-4.71482053399086E-9</v>
      </c>
      <c r="OR99" s="5">
        <f t="shared" si="84"/>
        <v>-4.71482053399086E-9</v>
      </c>
      <c r="OS99" s="5">
        <f t="shared" si="84"/>
        <v>-4.71482053399086E-9</v>
      </c>
      <c r="OT99" s="5">
        <f t="shared" si="84"/>
        <v>-4.71482053399086E-9</v>
      </c>
      <c r="OU99" s="5">
        <f t="shared" si="84"/>
        <v>-4.71482053399086E-9</v>
      </c>
      <c r="OV99" s="5">
        <f t="shared" si="84"/>
        <v>-4.71482053399086E-9</v>
      </c>
      <c r="OW99" s="5">
        <f t="shared" si="84"/>
        <v>-4.71482053399086E-9</v>
      </c>
      <c r="OX99" s="5">
        <f t="shared" si="84"/>
        <v>-4.71482053399086E-9</v>
      </c>
      <c r="OY99" s="5">
        <f t="shared" si="84"/>
        <v>-4.71482053399086E-9</v>
      </c>
      <c r="OZ99" s="5">
        <f t="shared" si="84"/>
        <v>-4.71482053399086E-9</v>
      </c>
      <c r="PA99" s="5">
        <f t="shared" si="84"/>
        <v>-4.71482053399086E-9</v>
      </c>
      <c r="PB99" s="5">
        <f t="shared" si="84"/>
        <v>-4.71482053399086E-9</v>
      </c>
      <c r="PC99" s="5">
        <f t="shared" si="84"/>
        <v>-4.71482053399086E-9</v>
      </c>
      <c r="PD99" s="5">
        <f t="shared" si="84"/>
        <v>-4.71482053399086E-9</v>
      </c>
      <c r="PE99" s="5">
        <f t="shared" si="84"/>
        <v>-4.71482053399086E-9</v>
      </c>
      <c r="PF99" s="5">
        <f t="shared" si="84"/>
        <v>-4.71482053399086E-9</v>
      </c>
    </row>
    <row r="100" spans="1:422" hidden="1">
      <c r="A100" s="6" t="s">
        <v>36</v>
      </c>
      <c r="B100" s="5">
        <f>B98-B99</f>
        <v>2000000</v>
      </c>
      <c r="C100" s="18">
        <f>C98-C99</f>
        <v>2067575.0713900849</v>
      </c>
      <c r="D100" s="5">
        <f t="shared" ref="D100:BO100" si="85">D98-D99</f>
        <v>2135575.1364901345</v>
      </c>
      <c r="E100" s="5">
        <f t="shared" si="85"/>
        <v>2204002.9568165643</v>
      </c>
      <c r="F100" s="5">
        <f t="shared" si="85"/>
        <v>2272861.3125831783</v>
      </c>
      <c r="G100" s="5">
        <f t="shared" si="85"/>
        <v>2342153.0028339634</v>
      </c>
      <c r="H100" s="5">
        <f t="shared" si="85"/>
        <v>2411880.8455768805</v>
      </c>
      <c r="I100" s="5">
        <f t="shared" si="85"/>
        <v>2482047.6779186549</v>
      </c>
      <c r="J100" s="5">
        <f t="shared" si="85"/>
        <v>2552656.3562005647</v>
      </c>
      <c r="K100" s="5">
        <f t="shared" si="85"/>
        <v>2623709.7561352607</v>
      </c>
      <c r="L100" s="5">
        <f t="shared" si="85"/>
        <v>2695210.7729446003</v>
      </c>
      <c r="M100" s="5">
        <f t="shared" si="85"/>
        <v>2767162.3214985114</v>
      </c>
      <c r="N100" s="5">
        <f t="shared" si="85"/>
        <v>2839567.3364549009</v>
      </c>
      <c r="O100" s="5">
        <f t="shared" si="85"/>
        <v>2912428.7724006148</v>
      </c>
      <c r="P100" s="5">
        <f t="shared" si="85"/>
        <v>2985749.6039934419</v>
      </c>
      <c r="Q100" s="5">
        <f t="shared" si="85"/>
        <v>3059532.8261051951</v>
      </c>
      <c r="R100" s="5">
        <f t="shared" si="85"/>
        <v>3133781.4539658576</v>
      </c>
      <c r="S100" s="5">
        <f t="shared" si="85"/>
        <v>3208498.5233088136</v>
      </c>
      <c r="T100" s="5">
        <f t="shared" si="85"/>
        <v>3283687.0905171707</v>
      </c>
      <c r="U100" s="5">
        <f t="shared" si="85"/>
        <v>3359350.2327711731</v>
      </c>
      <c r="V100" s="5">
        <f t="shared" si="85"/>
        <v>3435491.0481967302</v>
      </c>
      <c r="W100" s="5">
        <f t="shared" si="85"/>
        <v>3512112.656015059</v>
      </c>
      <c r="X100" s="5">
        <f t="shared" si="85"/>
        <v>3589218.1966934502</v>
      </c>
      <c r="Y100" s="5">
        <f t="shared" si="85"/>
        <v>3666810.8320971625</v>
      </c>
      <c r="Z100" s="5">
        <f t="shared" si="85"/>
        <v>3744893.7456424711</v>
      </c>
      <c r="AA100" s="5">
        <f t="shared" si="85"/>
        <v>3823470.142450856</v>
      </c>
      <c r="AB100" s="5">
        <f t="shared" si="85"/>
        <v>3902543.2495043585</v>
      </c>
      <c r="AC100" s="5">
        <f t="shared" si="85"/>
        <v>3982116.3158021048</v>
      </c>
      <c r="AD100" s="5">
        <f t="shared" si="85"/>
        <v>4062192.6125180051</v>
      </c>
      <c r="AE100" s="5">
        <f t="shared" si="85"/>
        <v>4142775.4331596494</v>
      </c>
      <c r="AF100" s="5">
        <f t="shared" si="85"/>
        <v>4223868.0937283896</v>
      </c>
      <c r="AG100" s="5">
        <f t="shared" si="85"/>
        <v>4305473.932880641</v>
      </c>
      <c r="AH100" s="5">
        <f t="shared" si="85"/>
        <v>4387596.3120903885</v>
      </c>
      <c r="AI100" s="5">
        <f t="shared" si="85"/>
        <v>4470238.6158129293</v>
      </c>
      <c r="AJ100" s="5">
        <f t="shared" si="85"/>
        <v>4553404.2516498445</v>
      </c>
      <c r="AK100" s="5">
        <f t="shared" si="85"/>
        <v>4637096.6505152192</v>
      </c>
      <c r="AL100" s="5">
        <f t="shared" si="85"/>
        <v>4721319.2668031203</v>
      </c>
      <c r="AM100" s="5">
        <f t="shared" si="85"/>
        <v>4806075.5785563355</v>
      </c>
      <c r="AN100" s="5">
        <f t="shared" si="85"/>
        <v>4891369.0876363898</v>
      </c>
      <c r="AO100" s="5">
        <f t="shared" si="85"/>
        <v>4977203.3198948503</v>
      </c>
      <c r="AP100" s="5">
        <f t="shared" si="85"/>
        <v>5063581.8253459204</v>
      </c>
      <c r="AQ100" s="5">
        <f t="shared" si="85"/>
        <v>5150508.1783403475</v>
      </c>
      <c r="AR100" s="5">
        <f t="shared" si="85"/>
        <v>5237985.9777406435</v>
      </c>
      <c r="AS100" s="5">
        <f t="shared" si="85"/>
        <v>5326018.8470976325</v>
      </c>
      <c r="AT100" s="5">
        <f t="shared" si="85"/>
        <v>5414610.4348283354</v>
      </c>
      <c r="AU100" s="5">
        <f t="shared" si="85"/>
        <v>5503764.4143952057</v>
      </c>
      <c r="AV100" s="5">
        <f t="shared" si="85"/>
        <v>5593484.4844867196</v>
      </c>
      <c r="AW100" s="5">
        <f t="shared" si="85"/>
        <v>5683774.3691993384</v>
      </c>
      <c r="AX100" s="5">
        <f t="shared" si="85"/>
        <v>5774637.8182208519</v>
      </c>
      <c r="AY100" s="5">
        <f t="shared" si="85"/>
        <v>5866078.6070151171</v>
      </c>
      <c r="AZ100" s="5">
        <f t="shared" si="85"/>
        <v>5958100.537008184</v>
      </c>
      <c r="BA100" s="5">
        <f t="shared" si="85"/>
        <v>6050707.4357758574</v>
      </c>
      <c r="BB100" s="5">
        <f t="shared" si="85"/>
        <v>6143903.1572326664</v>
      </c>
      <c r="BC100" s="5">
        <f t="shared" si="85"/>
        <v>6237691.5818222789</v>
      </c>
      <c r="BD100" s="5">
        <f t="shared" si="85"/>
        <v>6332076.6167093571</v>
      </c>
      <c r="BE100" s="5">
        <f t="shared" si="85"/>
        <v>6427062.1959728822</v>
      </c>
      <c r="BF100" s="5">
        <f t="shared" si="85"/>
        <v>6522652.2808009423</v>
      </c>
      <c r="BG100" s="5">
        <f t="shared" si="85"/>
        <v>6618850.8596870014</v>
      </c>
      <c r="BH100" s="5">
        <f t="shared" si="85"/>
        <v>6715661.9486276712</v>
      </c>
      <c r="BI100" s="5">
        <f t="shared" si="85"/>
        <v>6813089.5913219852</v>
      </c>
      <c r="BJ100" s="5">
        <f t="shared" si="85"/>
        <v>6911137.8593721846</v>
      </c>
      <c r="BK100" s="5">
        <f t="shared" si="85"/>
        <v>7009810.8524860488</v>
      </c>
      <c r="BL100" s="5">
        <f t="shared" si="85"/>
        <v>7109112.6986807538</v>
      </c>
      <c r="BM100" s="5">
        <f t="shared" si="85"/>
        <v>7209047.5544882976</v>
      </c>
      <c r="BN100" s="5">
        <f t="shared" si="85"/>
        <v>7309619.6051624855</v>
      </c>
      <c r="BO100" s="5">
        <f t="shared" si="85"/>
        <v>7410833.0648874994</v>
      </c>
      <c r="BP100" s="5">
        <f t="shared" ref="BP100:EA100" si="86">BP98-BP99</f>
        <v>7512692.1769880597</v>
      </c>
      <c r="BQ100" s="5">
        <f t="shared" si="86"/>
        <v>7615201.2141411882</v>
      </c>
      <c r="BR100" s="5">
        <f t="shared" si="86"/>
        <v>7718364.4785895972</v>
      </c>
      <c r="BS100" s="5">
        <f t="shared" si="86"/>
        <v>7822186.3023566995</v>
      </c>
      <c r="BT100" s="5">
        <f t="shared" si="86"/>
        <v>7926671.0474632755</v>
      </c>
      <c r="BU100" s="5">
        <f t="shared" si="86"/>
        <v>8031823.1061457843</v>
      </c>
      <c r="BV100" s="5">
        <f t="shared" si="86"/>
        <v>8137646.9010763559</v>
      </c>
      <c r="BW100" s="5">
        <f t="shared" si="86"/>
        <v>8244146.8855844643</v>
      </c>
      <c r="BX100" s="5">
        <f t="shared" si="86"/>
        <v>8351327.5438802904</v>
      </c>
      <c r="BY100" s="5">
        <f t="shared" si="86"/>
        <v>8459193.3912798129</v>
      </c>
      <c r="BZ100" s="5">
        <f t="shared" si="86"/>
        <v>8567748.9744316097</v>
      </c>
      <c r="CA100" s="5">
        <f t="shared" si="86"/>
        <v>8676998.8715454005</v>
      </c>
      <c r="CB100" s="5">
        <f t="shared" si="86"/>
        <v>8786947.6926223524</v>
      </c>
      <c r="CC100" s="5">
        <f t="shared" si="86"/>
        <v>8897600.0796871372</v>
      </c>
      <c r="CD100" s="5">
        <f t="shared" si="86"/>
        <v>9008960.7070217747</v>
      </c>
      <c r="CE100" s="5">
        <f t="shared" si="86"/>
        <v>9121034.281401284</v>
      </c>
      <c r="CF100" s="5">
        <f t="shared" si="86"/>
        <v>9233825.5423311274</v>
      </c>
      <c r="CG100" s="5">
        <f t="shared" si="86"/>
        <v>9347339.2622864842</v>
      </c>
      <c r="CH100" s="5">
        <f t="shared" si="86"/>
        <v>9461580.2469533682</v>
      </c>
      <c r="CI100" s="5">
        <f t="shared" si="86"/>
        <v>9576553.3354715928</v>
      </c>
      <c r="CJ100" s="5">
        <f t="shared" si="86"/>
        <v>9692263.4006796107</v>
      </c>
      <c r="CK100" s="5">
        <f t="shared" si="86"/>
        <v>9808715.3493612297</v>
      </c>
      <c r="CL100" s="5">
        <f t="shared" si="86"/>
        <v>9925914.1224942356</v>
      </c>
      <c r="CM100" s="5">
        <f t="shared" si="86"/>
        <v>10043864.695500916</v>
      </c>
      <c r="CN100" s="5">
        <f t="shared" si="86"/>
        <v>10162572.078500539</v>
      </c>
      <c r="CO100" s="5">
        <f t="shared" si="86"/>
        <v>10282041.316563746</v>
      </c>
      <c r="CP100" s="5">
        <f t="shared" si="86"/>
        <v>10402277.489968929</v>
      </c>
      <c r="CQ100" s="5">
        <f t="shared" si="86"/>
        <v>10523285.714460569</v>
      </c>
      <c r="CR100" s="5">
        <f t="shared" si="86"/>
        <v>10645071.141509581</v>
      </c>
      <c r="CS100" s="5">
        <f t="shared" si="86"/>
        <v>10767638.958575655</v>
      </c>
      <c r="CT100" s="5">
        <f t="shared" si="86"/>
        <v>10890994.389371626</v>
      </c>
      <c r="CU100" s="5">
        <f t="shared" si="86"/>
        <v>11015142.694129894</v>
      </c>
      <c r="CV100" s="5">
        <f t="shared" si="86"/>
        <v>11140089.169870883</v>
      </c>
      <c r="CW100" s="5">
        <f t="shared" si="86"/>
        <v>11265839.150673598</v>
      </c>
      <c r="CX100" s="5">
        <f t="shared" si="86"/>
        <v>11392398.007948244</v>
      </c>
      <c r="CY100" s="5">
        <f t="shared" si="86"/>
        <v>11519771.150710981</v>
      </c>
      <c r="CZ100" s="5">
        <f t="shared" si="86"/>
        <v>11647964.025860794</v>
      </c>
      <c r="DA100" s="5">
        <f t="shared" si="86"/>
        <v>11776982.118458489</v>
      </c>
      <c r="DB100" s="5">
        <f t="shared" si="86"/>
        <v>11906830.952007882</v>
      </c>
      <c r="DC100" s="5">
        <f t="shared" si="86"/>
        <v>12037516.088739129</v>
      </c>
      <c r="DD100" s="5">
        <f t="shared" si="86"/>
        <v>12169043.129894275</v>
      </c>
      <c r="DE100" s="5">
        <f t="shared" si="86"/>
        <v>12301417.716015004</v>
      </c>
      <c r="DF100" s="5">
        <f t="shared" si="86"/>
        <v>12434645.527232628</v>
      </c>
      <c r="DG100" s="5">
        <f t="shared" si="86"/>
        <v>12568732.283560313</v>
      </c>
      <c r="DH100" s="5">
        <f t="shared" si="86"/>
        <v>12703683.745187588</v>
      </c>
      <c r="DI100" s="5">
        <f t="shared" si="86"/>
        <v>12839505.71277711</v>
      </c>
      <c r="DJ100" s="5">
        <f t="shared" si="86"/>
        <v>12976204.027763769</v>
      </c>
      <c r="DK100" s="5">
        <f t="shared" si="86"/>
        <v>13113784.572656088</v>
      </c>
      <c r="DL100" s="5">
        <f t="shared" si="86"/>
        <v>13252253.271339979</v>
      </c>
      <c r="DM100" s="5">
        <f t="shared" si="86"/>
        <v>13391616.089384841</v>
      </c>
      <c r="DN100" s="5">
        <f t="shared" si="86"/>
        <v>13531879.034352064</v>
      </c>
      <c r="DO100" s="5">
        <f t="shared" si="86"/>
        <v>13673048.156105906</v>
      </c>
      <c r="DP100" s="5">
        <f t="shared" si="86"/>
        <v>13815129.547126807</v>
      </c>
      <c r="DQ100" s="5">
        <f t="shared" si="86"/>
        <v>13958129.342827119</v>
      </c>
      <c r="DR100" s="5">
        <f t="shared" si="86"/>
        <v>14102053.721869322</v>
      </c>
      <c r="DS100" s="5">
        <f t="shared" si="86"/>
        <v>14246908.906486688</v>
      </c>
      <c r="DT100" s="5">
        <f t="shared" si="86"/>
        <v>14392701.162806466</v>
      </c>
      <c r="DU100" s="5">
        <f t="shared" si="86"/>
        <v>14539436.801175572</v>
      </c>
      <c r="DV100" s="5">
        <f t="shared" si="86"/>
        <v>14687122.176488817</v>
      </c>
      <c r="DW100" s="5">
        <f t="shared" si="86"/>
        <v>14835763.688519701</v>
      </c>
      <c r="DX100" s="5">
        <f t="shared" si="86"/>
        <v>14985367.782253776</v>
      </c>
      <c r="DY100" s="5">
        <f t="shared" si="86"/>
        <v>15135940.948224634</v>
      </c>
      <c r="DZ100" s="5">
        <f t="shared" si="86"/>
        <v>15287489.722852476</v>
      </c>
      <c r="EA100" s="5">
        <f t="shared" si="86"/>
        <v>15440020.688785372</v>
      </c>
      <c r="EB100" s="5">
        <f t="shared" ref="EB100:GM100" si="87">EB98-EB99</f>
        <v>15593540.47524314</v>
      </c>
      <c r="EC100" s="5">
        <f t="shared" si="87"/>
        <v>15748055.758363944</v>
      </c>
      <c r="ED100" s="5">
        <f t="shared" si="87"/>
        <v>15903573.261553593</v>
      </c>
      <c r="EE100" s="5">
        <f t="shared" si="87"/>
        <v>16060099.755837563</v>
      </c>
      <c r="EF100" s="5">
        <f t="shared" si="87"/>
        <v>16217642.060215784</v>
      </c>
      <c r="EG100" s="5">
        <f t="shared" si="87"/>
        <v>16376207.042020183</v>
      </c>
      <c r="EH100" s="5">
        <f t="shared" si="87"/>
        <v>16535801.617275037</v>
      </c>
      <c r="EI100" s="5">
        <f t="shared" si="87"/>
        <v>16696432.751060169</v>
      </c>
      <c r="EJ100" s="5">
        <f t="shared" si="87"/>
        <v>16858107.457876928</v>
      </c>
      <c r="EK100" s="5">
        <f t="shared" si="87"/>
        <v>17020832.802017119</v>
      </c>
      <c r="EL100" s="5">
        <f t="shared" si="87"/>
        <v>17184615.897934735</v>
      </c>
      <c r="EM100" s="5">
        <f t="shared" si="87"/>
        <v>17349463.910620674</v>
      </c>
      <c r="EN100" s="5">
        <f t="shared" si="87"/>
        <v>17515384.055980366</v>
      </c>
      <c r="EO100" s="5">
        <f t="shared" si="87"/>
        <v>17682383.601214342</v>
      </c>
      <c r="EP100" s="5">
        <f t="shared" si="87"/>
        <v>17850469.865201838</v>
      </c>
      <c r="EQ100" s="5">
        <f t="shared" si="87"/>
        <v>18019650.218887363</v>
      </c>
      <c r="ER100" s="5">
        <f t="shared" si="87"/>
        <v>18189932.085670322</v>
      </c>
      <c r="ES100" s="5">
        <f t="shared" si="87"/>
        <v>18361322.941797715</v>
      </c>
      <c r="ET100" s="5">
        <f t="shared" si="87"/>
        <v>18533830.316759884</v>
      </c>
      <c r="EU100" s="5">
        <f t="shared" si="87"/>
        <v>18707461.793689407</v>
      </c>
      <c r="EV100" s="5">
        <f t="shared" si="87"/>
        <v>18882225.009763103</v>
      </c>
      <c r="EW100" s="5">
        <f t="shared" si="87"/>
        <v>19058127.656607214</v>
      </c>
      <c r="EX100" s="5">
        <f t="shared" si="87"/>
        <v>19235177.480705775</v>
      </c>
      <c r="EY100" s="5">
        <f t="shared" si="87"/>
        <v>19413382.28381218</v>
      </c>
      <c r="EZ100" s="5">
        <f t="shared" si="87"/>
        <v>19592749.923364002</v>
      </c>
      <c r="FA100" s="5">
        <f t="shared" si="87"/>
        <v>19773288.312901098</v>
      </c>
      <c r="FB100" s="5">
        <f t="shared" si="87"/>
        <v>19955005.422486961</v>
      </c>
      <c r="FC100" s="5">
        <f t="shared" si="87"/>
        <v>20137909.279133439</v>
      </c>
      <c r="FD100" s="5">
        <f t="shared" si="87"/>
        <v>20322007.967228774</v>
      </c>
      <c r="FE100" s="5">
        <f t="shared" si="87"/>
        <v>20507309.628969032</v>
      </c>
      <c r="FF100" s="5">
        <f t="shared" si="87"/>
        <v>20693822.46479293</v>
      </c>
      <c r="FG100" s="5">
        <f t="shared" si="87"/>
        <v>20881554.733820081</v>
      </c>
      <c r="FH100" s="5">
        <f t="shared" si="87"/>
        <v>21070514.75429273</v>
      </c>
      <c r="FI100" s="5">
        <f t="shared" si="87"/>
        <v>21260710.904020958</v>
      </c>
      <c r="FJ100" s="5">
        <f t="shared" si="87"/>
        <v>21452151.620831385</v>
      </c>
      <c r="FK100" s="5">
        <f t="shared" si="87"/>
        <v>21644845.403019469</v>
      </c>
      <c r="FL100" s="5">
        <f t="shared" si="87"/>
        <v>21838800.809805315</v>
      </c>
      <c r="FM100" s="5">
        <f t="shared" si="87"/>
        <v>22034026.461793151</v>
      </c>
      <c r="FN100" s="5">
        <f t="shared" si="87"/>
        <v>22230531.041434392</v>
      </c>
      <c r="FO100" s="5">
        <f t="shared" si="87"/>
        <v>22428323.293494396</v>
      </c>
      <c r="FP100" s="5">
        <f t="shared" si="87"/>
        <v>22627412.025522891</v>
      </c>
      <c r="FQ100" s="5">
        <f t="shared" si="87"/>
        <v>22827806.108328149</v>
      </c>
      <c r="FR100" s="5">
        <f t="shared" si="87"/>
        <v>23029514.476454902</v>
      </c>
      <c r="FS100" s="5">
        <f t="shared" si="87"/>
        <v>23232546.128666047</v>
      </c>
      <c r="FT100" s="5">
        <f t="shared" si="87"/>
        <v>23436910.128428161</v>
      </c>
      <c r="FU100" s="5">
        <f t="shared" si="87"/>
        <v>23642615.604400881</v>
      </c>
      <c r="FV100" s="5">
        <f t="shared" si="87"/>
        <v>23849671.750930164</v>
      </c>
      <c r="FW100" s="5">
        <f t="shared" si="87"/>
        <v>24058087.828545429</v>
      </c>
      <c r="FX100" s="5">
        <f t="shared" si="87"/>
        <v>24267873.164460689</v>
      </c>
      <c r="FY100" s="5">
        <f t="shared" si="87"/>
        <v>24479037.153079625</v>
      </c>
      <c r="FZ100" s="5">
        <f t="shared" si="87"/>
        <v>24691589.256504692</v>
      </c>
      <c r="GA100" s="5">
        <f t="shared" si="87"/>
        <v>24905539.005050261</v>
      </c>
      <c r="GB100" s="5">
        <f t="shared" si="87"/>
        <v>25120895.997759823</v>
      </c>
      <c r="GC100" s="5">
        <f t="shared" si="87"/>
        <v>25337669.902927347</v>
      </c>
      <c r="GD100" s="5">
        <f t="shared" si="87"/>
        <v>25555870.458622724</v>
      </c>
      <c r="GE100" s="5">
        <f t="shared" si="87"/>
        <v>25775507.473221451</v>
      </c>
      <c r="GF100" s="5">
        <f t="shared" si="87"/>
        <v>25996590.825938471</v>
      </c>
      <c r="GG100" s="5">
        <f t="shared" si="87"/>
        <v>26219130.467366304</v>
      </c>
      <c r="GH100" s="5">
        <f t="shared" si="87"/>
        <v>26443136.420017447</v>
      </c>
      <c r="GI100" s="5">
        <f t="shared" si="87"/>
        <v>26668618.778871093</v>
      </c>
      <c r="GJ100" s="5">
        <f t="shared" si="87"/>
        <v>26895587.711924195</v>
      </c>
      <c r="GK100" s="5">
        <f t="shared" si="87"/>
        <v>27124053.460746951</v>
      </c>
      <c r="GL100" s="5">
        <f t="shared" si="87"/>
        <v>27354026.341042671</v>
      </c>
      <c r="GM100" s="5">
        <f t="shared" si="87"/>
        <v>27585516.743212171</v>
      </c>
      <c r="GN100" s="5">
        <f t="shared" ref="GN100:IY100" si="88">GN98-GN99</f>
        <v>27818535.132922586</v>
      </c>
      <c r="GO100" s="5">
        <f t="shared" si="88"/>
        <v>28053092.051680811</v>
      </c>
      <c r="GP100" s="5">
        <f t="shared" si="88"/>
        <v>28289198.117411442</v>
      </c>
      <c r="GQ100" s="5">
        <f t="shared" si="88"/>
        <v>28526864.025039382</v>
      </c>
      <c r="GR100" s="5">
        <f t="shared" si="88"/>
        <v>28766100.547077075</v>
      </c>
      <c r="GS100" s="5">
        <f t="shared" si="88"/>
        <v>29006918.534216441</v>
      </c>
      <c r="GT100" s="5">
        <f t="shared" si="88"/>
        <v>29249328.915925533</v>
      </c>
      <c r="GU100" s="5">
        <f t="shared" si="88"/>
        <v>29493342.70104998</v>
      </c>
      <c r="GV100" s="5">
        <f t="shared" si="88"/>
        <v>29738970.978419207</v>
      </c>
      <c r="GW100" s="5">
        <f t="shared" si="88"/>
        <v>29986224.917457543</v>
      </c>
      <c r="GX100" s="5">
        <f t="shared" si="88"/>
        <v>30235115.768800195</v>
      </c>
      <c r="GY100" s="5">
        <f t="shared" si="88"/>
        <v>30485654.864914153</v>
      </c>
      <c r="GZ100" s="5">
        <f t="shared" si="88"/>
        <v>30737853.620724075</v>
      </c>
      <c r="HA100" s="5">
        <f t="shared" si="88"/>
        <v>30991723.534243174</v>
      </c>
      <c r="HB100" s="5">
        <f t="shared" si="88"/>
        <v>31247276.187209174</v>
      </c>
      <c r="HC100" s="5">
        <f t="shared" si="88"/>
        <v>31504523.245725356</v>
      </c>
      <c r="HD100" s="5">
        <f t="shared" si="88"/>
        <v>31763476.460906718</v>
      </c>
      <c r="HE100" s="5">
        <f t="shared" si="88"/>
        <v>32024147.669531353</v>
      </c>
      <c r="HF100" s="5">
        <f t="shared" si="88"/>
        <v>32286548.794697043</v>
      </c>
      <c r="HG100" s="5">
        <f t="shared" si="88"/>
        <v>32550691.846483123</v>
      </c>
      <c r="HH100" s="5">
        <f t="shared" si="88"/>
        <v>32816588.922617607</v>
      </c>
      <c r="HI100" s="5">
        <f t="shared" si="88"/>
        <v>33084252.209149767</v>
      </c>
      <c r="HJ100" s="5">
        <f t="shared" si="88"/>
        <v>33353693.981128022</v>
      </c>
      <c r="HK100" s="5">
        <f t="shared" si="88"/>
        <v>33624926.603283323</v>
      </c>
      <c r="HL100" s="5">
        <f t="shared" si="88"/>
        <v>33897962.530718014</v>
      </c>
      <c r="HM100" s="5">
        <f t="shared" si="88"/>
        <v>34172814.309600256</v>
      </c>
      <c r="HN100" s="5">
        <f t="shared" si="88"/>
        <v>34449494.577863961</v>
      </c>
      <c r="HO100" s="5">
        <f t="shared" si="88"/>
        <v>34728016.06591446</v>
      </c>
      <c r="HP100" s="5">
        <f t="shared" si="88"/>
        <v>35008391.597339764</v>
      </c>
      <c r="HQ100" s="5">
        <f t="shared" si="88"/>
        <v>35290634.089627594</v>
      </c>
      <c r="HR100" s="5">
        <f t="shared" si="88"/>
        <v>35574756.554888159</v>
      </c>
      <c r="HS100" s="5">
        <f t="shared" si="88"/>
        <v>35860772.100582793</v>
      </c>
      <c r="HT100" s="5">
        <f t="shared" si="88"/>
        <v>36148693.930258393</v>
      </c>
      <c r="HU100" s="5">
        <f t="shared" si="88"/>
        <v>36438535.344287872</v>
      </c>
      <c r="HV100" s="5">
        <f t="shared" si="88"/>
        <v>36730309.740616456</v>
      </c>
      <c r="HW100" s="5">
        <f t="shared" si="88"/>
        <v>37024030.615514159</v>
      </c>
      <c r="HX100" s="5">
        <f t="shared" si="88"/>
        <v>37319711.564334139</v>
      </c>
      <c r="HY100" s="5">
        <f t="shared" si="88"/>
        <v>37617366.282277338</v>
      </c>
      <c r="HZ100" s="5">
        <f t="shared" si="88"/>
        <v>37917008.565163203</v>
      </c>
      <c r="IA100" s="5">
        <f t="shared" si="88"/>
        <v>38218652.310206652</v>
      </c>
      <c r="IB100" s="5">
        <f t="shared" si="88"/>
        <v>38522311.516801313</v>
      </c>
      <c r="IC100" s="5">
        <f t="shared" si="88"/>
        <v>38828000.287309095</v>
      </c>
      <c r="ID100" s="5">
        <f t="shared" si="88"/>
        <v>39135732.827856101</v>
      </c>
      <c r="IE100" s="5">
        <f t="shared" si="88"/>
        <v>39445523.449135073</v>
      </c>
      <c r="IF100" s="5">
        <f t="shared" si="88"/>
        <v>39757386.567214176</v>
      </c>
      <c r="IG100" s="5">
        <f t="shared" si="88"/>
        <v>40071336.704352483</v>
      </c>
      <c r="IH100" s="5">
        <f t="shared" si="88"/>
        <v>40387388.489821933</v>
      </c>
      <c r="II100" s="5">
        <f t="shared" si="88"/>
        <v>40622981.589345895</v>
      </c>
      <c r="IJ100" s="5">
        <f t="shared" si="88"/>
        <v>40859948.98195041</v>
      </c>
      <c r="IK100" s="5">
        <f t="shared" si="88"/>
        <v>41098298.684345119</v>
      </c>
      <c r="IL100" s="5">
        <f t="shared" si="88"/>
        <v>41338038.760003798</v>
      </c>
      <c r="IM100" s="5">
        <f t="shared" si="88"/>
        <v>41579177.319437154</v>
      </c>
      <c r="IN100" s="5">
        <f t="shared" si="88"/>
        <v>41821722.520467207</v>
      </c>
      <c r="IO100" s="5">
        <f t="shared" si="88"/>
        <v>42065682.568503268</v>
      </c>
      <c r="IP100" s="5">
        <f t="shared" si="88"/>
        <v>42311065.71681954</v>
      </c>
      <c r="IQ100" s="5">
        <f t="shared" si="88"/>
        <v>42557880.266834319</v>
      </c>
      <c r="IR100" s="5">
        <f t="shared" si="88"/>
        <v>42806134.568390854</v>
      </c>
      <c r="IS100" s="5">
        <f t="shared" si="88"/>
        <v>43055837.020039804</v>
      </c>
      <c r="IT100" s="5">
        <f t="shared" si="88"/>
        <v>43306996.069323368</v>
      </c>
      <c r="IU100" s="5">
        <f t="shared" si="88"/>
        <v>43559620.213061087</v>
      </c>
      <c r="IV100" s="5">
        <f t="shared" si="88"/>
        <v>43813717.997637279</v>
      </c>
      <c r="IW100" s="5">
        <f t="shared" si="88"/>
        <v>44069298.019290164</v>
      </c>
      <c r="IX100" s="5">
        <f t="shared" si="88"/>
        <v>44326368.924402691</v>
      </c>
      <c r="IY100" s="5">
        <f t="shared" si="88"/>
        <v>44584939.409795038</v>
      </c>
      <c r="IZ100" s="5">
        <f t="shared" ref="IZ100:LK100" si="89">IZ98-IZ99</f>
        <v>44845018.223018847</v>
      </c>
      <c r="JA100" s="5">
        <f t="shared" si="89"/>
        <v>45106614.162653126</v>
      </c>
      <c r="JB100" s="5">
        <f t="shared" si="89"/>
        <v>45369736.078601934</v>
      </c>
      <c r="JC100" s="5">
        <f t="shared" si="89"/>
        <v>45634392.872393779</v>
      </c>
      <c r="JD100" s="5">
        <f t="shared" si="89"/>
        <v>45900593.497482747</v>
      </c>
      <c r="JE100" s="5">
        <f t="shared" si="89"/>
        <v>46168346.959551394</v>
      </c>
      <c r="JF100" s="5">
        <f t="shared" si="89"/>
        <v>46437662.316815443</v>
      </c>
      <c r="JG100" s="5">
        <f t="shared" si="89"/>
        <v>46708548.680330202</v>
      </c>
      <c r="JH100" s="5">
        <f t="shared" si="89"/>
        <v>46981015.214298792</v>
      </c>
      <c r="JI100" s="5">
        <f t="shared" si="89"/>
        <v>47255071.1363822</v>
      </c>
      <c r="JJ100" s="5">
        <f t="shared" si="89"/>
        <v>47530725.718011096</v>
      </c>
      <c r="JK100" s="5">
        <f t="shared" si="89"/>
        <v>47807988.284699492</v>
      </c>
      <c r="JL100" s="5">
        <f t="shared" si="89"/>
        <v>48086868.216360241</v>
      </c>
      <c r="JM100" s="5">
        <f t="shared" si="89"/>
        <v>48367374.947622344</v>
      </c>
      <c r="JN100" s="5">
        <f t="shared" si="89"/>
        <v>48649517.968150139</v>
      </c>
      <c r="JO100" s="5">
        <f t="shared" si="89"/>
        <v>48933306.822964348</v>
      </c>
      <c r="JP100" s="5">
        <f t="shared" si="89"/>
        <v>49218751.112764977</v>
      </c>
      <c r="JQ100" s="5">
        <f t="shared" si="89"/>
        <v>49505860.494256109</v>
      </c>
      <c r="JR100" s="5">
        <f t="shared" si="89"/>
        <v>49794644.680472605</v>
      </c>
      <c r="JS100" s="5">
        <f t="shared" si="89"/>
        <v>50085113.441108696</v>
      </c>
      <c r="JT100" s="5">
        <f t="shared" si="89"/>
        <v>50377276.6028485</v>
      </c>
      <c r="JU100" s="5">
        <f t="shared" si="89"/>
        <v>50671144.04969845</v>
      </c>
      <c r="JV100" s="5">
        <f t="shared" si="89"/>
        <v>50966725.723321691</v>
      </c>
      <c r="JW100" s="5">
        <f t="shared" si="89"/>
        <v>51264031.623374403</v>
      </c>
      <c r="JX100" s="5">
        <f t="shared" si="89"/>
        <v>51563071.807844087</v>
      </c>
      <c r="JY100" s="5">
        <f t="shared" si="89"/>
        <v>51863856.393389843</v>
      </c>
      <c r="JZ100" s="5">
        <f t="shared" si="89"/>
        <v>52166395.555684619</v>
      </c>
      <c r="KA100" s="5">
        <f t="shared" si="89"/>
        <v>52470699.529759444</v>
      </c>
      <c r="KB100" s="5">
        <f t="shared" si="89"/>
        <v>52776778.610349707</v>
      </c>
      <c r="KC100" s="5">
        <f t="shared" si="89"/>
        <v>53084643.152243413</v>
      </c>
      <c r="KD100" s="5">
        <f t="shared" si="89"/>
        <v>53394303.570631504</v>
      </c>
      <c r="KE100" s="5">
        <f t="shared" si="89"/>
        <v>53705770.341460191</v>
      </c>
      <c r="KF100" s="5">
        <f t="shared" si="89"/>
        <v>54019054.001785375</v>
      </c>
      <c r="KG100" s="5">
        <f t="shared" si="89"/>
        <v>54334165.150129125</v>
      </c>
      <c r="KH100" s="5">
        <f t="shared" si="89"/>
        <v>54651114.446838215</v>
      </c>
      <c r="KI100" s="5">
        <f t="shared" si="89"/>
        <v>54969912.61444477</v>
      </c>
      <c r="KJ100" s="5">
        <f t="shared" si="89"/>
        <v>55290570.438029036</v>
      </c>
      <c r="KK100" s="5">
        <f t="shared" si="89"/>
        <v>55613098.765584208</v>
      </c>
      <c r="KL100" s="5">
        <f t="shared" si="89"/>
        <v>55937508.508383453</v>
      </c>
      <c r="KM100" s="5">
        <f t="shared" si="89"/>
        <v>56263810.641349025</v>
      </c>
      <c r="KN100" s="5">
        <f t="shared" si="89"/>
        <v>56592016.20342356</v>
      </c>
      <c r="KO100" s="5">
        <f t="shared" si="89"/>
        <v>56922136.297943532</v>
      </c>
      <c r="KP100" s="5">
        <f t="shared" si="89"/>
        <v>57254182.093014874</v>
      </c>
      <c r="KQ100" s="5">
        <f t="shared" si="89"/>
        <v>57588164.821890794</v>
      </c>
      <c r="KR100" s="5">
        <f t="shared" si="89"/>
        <v>57924095.783351824</v>
      </c>
      <c r="KS100" s="5">
        <f t="shared" si="89"/>
        <v>58261986.342088044</v>
      </c>
      <c r="KT100" s="5">
        <f t="shared" si="89"/>
        <v>58601847.929083556</v>
      </c>
      <c r="KU100" s="5">
        <f t="shared" si="89"/>
        <v>58943692.042003214</v>
      </c>
      <c r="KV100" s="5">
        <f t="shared" si="89"/>
        <v>59287530.245581567</v>
      </c>
      <c r="KW100" s="5">
        <f t="shared" si="89"/>
        <v>59633374.172014125</v>
      </c>
      <c r="KX100" s="5">
        <f t="shared" si="89"/>
        <v>59981235.521350875</v>
      </c>
      <c r="KY100" s="5">
        <f t="shared" si="89"/>
        <v>60331126.061892092</v>
      </c>
      <c r="KZ100" s="5">
        <f t="shared" si="89"/>
        <v>60683057.630586468</v>
      </c>
      <c r="LA100" s="5">
        <f t="shared" si="89"/>
        <v>61037042.133431554</v>
      </c>
      <c r="LB100" s="5">
        <f t="shared" si="89"/>
        <v>61393091.54587657</v>
      </c>
      <c r="LC100" s="5">
        <f t="shared" si="89"/>
        <v>61751217.913227521</v>
      </c>
      <c r="LD100" s="5">
        <f t="shared" si="89"/>
        <v>62111433.351054683</v>
      </c>
      <c r="LE100" s="5">
        <f t="shared" si="89"/>
        <v>62473750.0456025</v>
      </c>
      <c r="LF100" s="5">
        <f t="shared" si="89"/>
        <v>62838180.254201852</v>
      </c>
      <c r="LG100" s="5">
        <f t="shared" si="89"/>
        <v>63204736.305684701</v>
      </c>
      <c r="LH100" s="5">
        <f t="shared" si="89"/>
        <v>63573430.6008012</v>
      </c>
      <c r="LI100" s="5">
        <f t="shared" si="89"/>
        <v>63944275.612639211</v>
      </c>
      <c r="LJ100" s="5">
        <f t="shared" si="89"/>
        <v>64317283.887046278</v>
      </c>
      <c r="LK100" s="5">
        <f t="shared" si="89"/>
        <v>64692468.043054052</v>
      </c>
      <c r="LL100" s="5">
        <f t="shared" ref="LL100:NW100" si="90">LL98-LL99</f>
        <v>65069840.7733052</v>
      </c>
      <c r="LM100" s="5">
        <f t="shared" si="90"/>
        <v>65449414.844482817</v>
      </c>
      <c r="LN100" s="5">
        <f t="shared" si="90"/>
        <v>65831203.097742304</v>
      </c>
      <c r="LO100" s="5">
        <f t="shared" si="90"/>
        <v>66215218.449145801</v>
      </c>
      <c r="LP100" s="5">
        <f t="shared" si="90"/>
        <v>66601473.890099153</v>
      </c>
      <c r="LQ100" s="5">
        <f t="shared" si="90"/>
        <v>66989982.487791397</v>
      </c>
      <c r="LR100" s="5">
        <f t="shared" si="90"/>
        <v>67380757.385636836</v>
      </c>
      <c r="LS100" s="5">
        <f t="shared" si="90"/>
        <v>67773811.803719714</v>
      </c>
      <c r="LT100" s="5">
        <f t="shared" si="90"/>
        <v>68169159.039241418</v>
      </c>
      <c r="LU100" s="5">
        <f t="shared" si="90"/>
        <v>68566812.466970325</v>
      </c>
      <c r="LV100" s="5">
        <f t="shared" si="90"/>
        <v>68966785.539694324</v>
      </c>
      <c r="LW100" s="5">
        <f t="shared" si="90"/>
        <v>69369091.788675874</v>
      </c>
      <c r="LX100" s="5">
        <f t="shared" si="90"/>
        <v>69773744.824109823</v>
      </c>
      <c r="LY100" s="5">
        <f t="shared" si="90"/>
        <v>70180758.335583791</v>
      </c>
      <c r="LZ100" s="5">
        <f t="shared" si="90"/>
        <v>70590146.092541367</v>
      </c>
      <c r="MA100" s="5">
        <f t="shared" si="90"/>
        <v>71001921.944747865</v>
      </c>
      <c r="MB100" s="5">
        <f t="shared" si="90"/>
        <v>71416099.822758898</v>
      </c>
      <c r="MC100" s="5">
        <f t="shared" si="90"/>
        <v>71832693.738391653</v>
      </c>
      <c r="MD100" s="5">
        <f t="shared" si="90"/>
        <v>72251717.785198942</v>
      </c>
      <c r="ME100" s="5">
        <f t="shared" si="90"/>
        <v>72673186.138945937</v>
      </c>
      <c r="MF100" s="5">
        <f t="shared" si="90"/>
        <v>73097113.058089793</v>
      </c>
      <c r="MG100" s="5">
        <f t="shared" si="90"/>
        <v>73523512.884261981</v>
      </c>
      <c r="MH100" s="5">
        <f t="shared" si="90"/>
        <v>73952400.042753518</v>
      </c>
      <c r="MI100" s="5">
        <f t="shared" si="90"/>
        <v>74383789.043002918</v>
      </c>
      <c r="MJ100" s="5">
        <f t="shared" si="90"/>
        <v>74817694.479087099</v>
      </c>
      <c r="MK100" s="5">
        <f t="shared" si="90"/>
        <v>75254131.030215114</v>
      </c>
      <c r="ML100" s="5">
        <f t="shared" si="90"/>
        <v>75693113.461224705</v>
      </c>
      <c r="MM100" s="5">
        <f t="shared" si="90"/>
        <v>76134656.623081848</v>
      </c>
      <c r="MN100" s="5">
        <f t="shared" si="90"/>
        <v>76578775.453383163</v>
      </c>
      <c r="MO100" s="5">
        <f t="shared" si="90"/>
        <v>77025484.976861238</v>
      </c>
      <c r="MP100" s="5">
        <f t="shared" si="90"/>
        <v>77474800.305892929</v>
      </c>
      <c r="MQ100" s="5">
        <f t="shared" si="90"/>
        <v>77926736.641010642</v>
      </c>
      <c r="MR100" s="5">
        <f t="shared" si="90"/>
        <v>78381309.271416545</v>
      </c>
      <c r="MS100" s="5">
        <f t="shared" si="90"/>
        <v>78838533.575499803</v>
      </c>
      <c r="MT100" s="5">
        <f t="shared" si="90"/>
        <v>79298425.021356881</v>
      </c>
      <c r="MU100" s="5">
        <f t="shared" si="90"/>
        <v>79760999.167314798</v>
      </c>
      <c r="MV100" s="5">
        <f t="shared" si="90"/>
        <v>80226271.662457466</v>
      </c>
      <c r="MW100" s="5">
        <f t="shared" si="90"/>
        <v>80694258.24715513</v>
      </c>
      <c r="MX100" s="5">
        <f t="shared" si="90"/>
        <v>81164974.753596872</v>
      </c>
      <c r="MY100" s="5">
        <f t="shared" si="90"/>
        <v>4.71482053399086E-9</v>
      </c>
      <c r="MZ100" s="5">
        <f t="shared" si="90"/>
        <v>4.71482053399086E-9</v>
      </c>
      <c r="NA100" s="5">
        <f t="shared" si="90"/>
        <v>4.71482053399086E-9</v>
      </c>
      <c r="NB100" s="5">
        <f t="shared" si="90"/>
        <v>4.71482053399086E-9</v>
      </c>
      <c r="NC100" s="5">
        <f t="shared" si="90"/>
        <v>4.71482053399086E-9</v>
      </c>
      <c r="ND100" s="5">
        <f t="shared" si="90"/>
        <v>4.71482053399086E-9</v>
      </c>
      <c r="NE100" s="5">
        <f t="shared" si="90"/>
        <v>4.71482053399086E-9</v>
      </c>
      <c r="NF100" s="5">
        <f t="shared" si="90"/>
        <v>4.71482053399086E-9</v>
      </c>
      <c r="NG100" s="5">
        <f t="shared" si="90"/>
        <v>4.71482053399086E-9</v>
      </c>
      <c r="NH100" s="5">
        <f t="shared" si="90"/>
        <v>4.71482053399086E-9</v>
      </c>
      <c r="NI100" s="5">
        <f t="shared" si="90"/>
        <v>4.71482053399086E-9</v>
      </c>
      <c r="NJ100" s="5">
        <f t="shared" si="90"/>
        <v>4.71482053399086E-9</v>
      </c>
      <c r="NK100" s="5">
        <f t="shared" si="90"/>
        <v>4.71482053399086E-9</v>
      </c>
      <c r="NL100" s="5">
        <f t="shared" si="90"/>
        <v>4.71482053399086E-9</v>
      </c>
      <c r="NM100" s="5">
        <f t="shared" si="90"/>
        <v>4.71482053399086E-9</v>
      </c>
      <c r="NN100" s="5">
        <f t="shared" si="90"/>
        <v>4.71482053399086E-9</v>
      </c>
      <c r="NO100" s="5">
        <f t="shared" si="90"/>
        <v>4.71482053399086E-9</v>
      </c>
      <c r="NP100" s="5">
        <f t="shared" si="90"/>
        <v>4.71482053399086E-9</v>
      </c>
      <c r="NQ100" s="5">
        <f t="shared" si="90"/>
        <v>4.71482053399086E-9</v>
      </c>
      <c r="NR100" s="5">
        <f t="shared" si="90"/>
        <v>4.71482053399086E-9</v>
      </c>
      <c r="NS100" s="5">
        <f t="shared" si="90"/>
        <v>4.71482053399086E-9</v>
      </c>
      <c r="NT100" s="5">
        <f t="shared" si="90"/>
        <v>4.71482053399086E-9</v>
      </c>
      <c r="NU100" s="5">
        <f t="shared" si="90"/>
        <v>4.71482053399086E-9</v>
      </c>
      <c r="NV100" s="5">
        <f t="shared" si="90"/>
        <v>4.71482053399086E-9</v>
      </c>
      <c r="NW100" s="5">
        <f t="shared" si="90"/>
        <v>4.71482053399086E-9</v>
      </c>
      <c r="NX100" s="5">
        <f t="shared" ref="NX100:PF100" si="91">NX98-NX99</f>
        <v>4.71482053399086E-9</v>
      </c>
      <c r="NY100" s="5">
        <f t="shared" si="91"/>
        <v>4.71482053399086E-9</v>
      </c>
      <c r="NZ100" s="5">
        <f t="shared" si="91"/>
        <v>4.71482053399086E-9</v>
      </c>
      <c r="OA100" s="5">
        <f t="shared" si="91"/>
        <v>4.71482053399086E-9</v>
      </c>
      <c r="OB100" s="5">
        <f t="shared" si="91"/>
        <v>4.71482053399086E-9</v>
      </c>
      <c r="OC100" s="5">
        <f t="shared" si="91"/>
        <v>4.71482053399086E-9</v>
      </c>
      <c r="OD100" s="5">
        <f t="shared" si="91"/>
        <v>4.71482053399086E-9</v>
      </c>
      <c r="OE100" s="5">
        <f t="shared" si="91"/>
        <v>4.71482053399086E-9</v>
      </c>
      <c r="OF100" s="5">
        <f t="shared" si="91"/>
        <v>4.71482053399086E-9</v>
      </c>
      <c r="OG100" s="5">
        <f t="shared" si="91"/>
        <v>4.71482053399086E-9</v>
      </c>
      <c r="OH100" s="5">
        <f t="shared" si="91"/>
        <v>4.71482053399086E-9</v>
      </c>
      <c r="OI100" s="5">
        <f t="shared" si="91"/>
        <v>4.71482053399086E-9</v>
      </c>
      <c r="OJ100" s="5">
        <f t="shared" si="91"/>
        <v>4.71482053399086E-9</v>
      </c>
      <c r="OK100" s="5">
        <f t="shared" si="91"/>
        <v>4.71482053399086E-9</v>
      </c>
      <c r="OL100" s="5">
        <f t="shared" si="91"/>
        <v>4.71482053399086E-9</v>
      </c>
      <c r="OM100" s="5">
        <f t="shared" si="91"/>
        <v>4.71482053399086E-9</v>
      </c>
      <c r="ON100" s="5">
        <f t="shared" si="91"/>
        <v>4.71482053399086E-9</v>
      </c>
      <c r="OO100" s="5">
        <f t="shared" si="91"/>
        <v>4.71482053399086E-9</v>
      </c>
      <c r="OP100" s="5">
        <f t="shared" si="91"/>
        <v>4.71482053399086E-9</v>
      </c>
      <c r="OQ100" s="5">
        <f t="shared" si="91"/>
        <v>4.71482053399086E-9</v>
      </c>
      <c r="OR100" s="5">
        <f t="shared" si="91"/>
        <v>4.71482053399086E-9</v>
      </c>
      <c r="OS100" s="5">
        <f t="shared" si="91"/>
        <v>4.71482053399086E-9</v>
      </c>
      <c r="OT100" s="5">
        <f t="shared" si="91"/>
        <v>4.71482053399086E-9</v>
      </c>
      <c r="OU100" s="5">
        <f t="shared" si="91"/>
        <v>4.71482053399086E-9</v>
      </c>
      <c r="OV100" s="5">
        <f t="shared" si="91"/>
        <v>4.71482053399086E-9</v>
      </c>
      <c r="OW100" s="5">
        <f t="shared" si="91"/>
        <v>4.71482053399086E-9</v>
      </c>
      <c r="OX100" s="5">
        <f t="shared" si="91"/>
        <v>4.71482053399086E-9</v>
      </c>
      <c r="OY100" s="5">
        <f t="shared" si="91"/>
        <v>4.71482053399086E-9</v>
      </c>
      <c r="OZ100" s="5">
        <f t="shared" si="91"/>
        <v>4.71482053399086E-9</v>
      </c>
      <c r="PA100" s="5">
        <f t="shared" si="91"/>
        <v>4.71482053399086E-9</v>
      </c>
      <c r="PB100" s="5">
        <f t="shared" si="91"/>
        <v>4.71482053399086E-9</v>
      </c>
      <c r="PC100" s="5">
        <f t="shared" si="91"/>
        <v>4.71482053399086E-9</v>
      </c>
      <c r="PD100" s="5">
        <f t="shared" si="91"/>
        <v>4.71482053399086E-9</v>
      </c>
      <c r="PE100" s="5">
        <f t="shared" si="91"/>
        <v>4.71482053399086E-9</v>
      </c>
      <c r="PF100" s="5">
        <f t="shared" si="91"/>
        <v>4.71482053399086E-9</v>
      </c>
    </row>
    <row r="101" spans="1:422" hidden="1">
      <c r="A101" s="6"/>
      <c r="C101" s="18"/>
    </row>
    <row r="102" spans="1:422" hidden="1">
      <c r="A102" s="6" t="s">
        <v>37</v>
      </c>
      <c r="C102" s="18">
        <f>IF(C95&lt;=$B$26, $B$27, 0)</f>
        <v>82575.071390084544</v>
      </c>
      <c r="D102" s="5">
        <f t="shared" ref="D102:BO102" si="92">IF(D95&lt;=$B$26, $B$27, 0)</f>
        <v>82575.071390084544</v>
      </c>
      <c r="E102" s="5">
        <f t="shared" si="92"/>
        <v>82575.071390084544</v>
      </c>
      <c r="F102" s="5">
        <f t="shared" si="92"/>
        <v>82575.071390084544</v>
      </c>
      <c r="G102" s="5">
        <f t="shared" si="92"/>
        <v>82575.071390084544</v>
      </c>
      <c r="H102" s="5">
        <f t="shared" si="92"/>
        <v>82575.071390084544</v>
      </c>
      <c r="I102" s="5">
        <f t="shared" si="92"/>
        <v>82575.071390084544</v>
      </c>
      <c r="J102" s="5">
        <f t="shared" si="92"/>
        <v>82575.071390084544</v>
      </c>
      <c r="K102" s="5">
        <f t="shared" si="92"/>
        <v>82575.071390084544</v>
      </c>
      <c r="L102" s="5">
        <f t="shared" si="92"/>
        <v>82575.071390084544</v>
      </c>
      <c r="M102" s="5">
        <f t="shared" si="92"/>
        <v>82575.071390084544</v>
      </c>
      <c r="N102" s="5">
        <f t="shared" si="92"/>
        <v>82575.071390084544</v>
      </c>
      <c r="O102" s="5">
        <f t="shared" si="92"/>
        <v>82575.071390084544</v>
      </c>
      <c r="P102" s="5">
        <f t="shared" si="92"/>
        <v>82575.071390084544</v>
      </c>
      <c r="Q102" s="5">
        <f t="shared" si="92"/>
        <v>82575.071390084544</v>
      </c>
      <c r="R102" s="5">
        <f t="shared" si="92"/>
        <v>82575.071390084544</v>
      </c>
      <c r="S102" s="5">
        <f t="shared" si="92"/>
        <v>82575.071390084544</v>
      </c>
      <c r="T102" s="5">
        <f t="shared" si="92"/>
        <v>82575.071390084544</v>
      </c>
      <c r="U102" s="5">
        <f t="shared" si="92"/>
        <v>82575.071390084544</v>
      </c>
      <c r="V102" s="5">
        <f t="shared" si="92"/>
        <v>82575.071390084544</v>
      </c>
      <c r="W102" s="5">
        <f t="shared" si="92"/>
        <v>82575.071390084544</v>
      </c>
      <c r="X102" s="5">
        <f t="shared" si="92"/>
        <v>82575.071390084544</v>
      </c>
      <c r="Y102" s="5">
        <f t="shared" si="92"/>
        <v>82575.071390084544</v>
      </c>
      <c r="Z102" s="5">
        <f t="shared" si="92"/>
        <v>82575.071390084544</v>
      </c>
      <c r="AA102" s="5">
        <f t="shared" si="92"/>
        <v>82575.071390084544</v>
      </c>
      <c r="AB102" s="5">
        <f t="shared" si="92"/>
        <v>82575.071390084544</v>
      </c>
      <c r="AC102" s="5">
        <f t="shared" si="92"/>
        <v>82575.071390084544</v>
      </c>
      <c r="AD102" s="5">
        <f t="shared" si="92"/>
        <v>82575.071390084544</v>
      </c>
      <c r="AE102" s="5">
        <f t="shared" si="92"/>
        <v>82575.071390084544</v>
      </c>
      <c r="AF102" s="5">
        <f t="shared" si="92"/>
        <v>82575.071390084544</v>
      </c>
      <c r="AG102" s="5">
        <f t="shared" si="92"/>
        <v>82575.071390084544</v>
      </c>
      <c r="AH102" s="5">
        <f t="shared" si="92"/>
        <v>82575.071390084544</v>
      </c>
      <c r="AI102" s="5">
        <f t="shared" si="92"/>
        <v>82575.071390084544</v>
      </c>
      <c r="AJ102" s="5">
        <f t="shared" si="92"/>
        <v>82575.071390084544</v>
      </c>
      <c r="AK102" s="5">
        <f t="shared" si="92"/>
        <v>82575.071390084544</v>
      </c>
      <c r="AL102" s="5">
        <f t="shared" si="92"/>
        <v>82575.071390084544</v>
      </c>
      <c r="AM102" s="5">
        <f t="shared" si="92"/>
        <v>82575.071390084544</v>
      </c>
      <c r="AN102" s="5">
        <f t="shared" si="92"/>
        <v>82575.071390084544</v>
      </c>
      <c r="AO102" s="5">
        <f t="shared" si="92"/>
        <v>82575.071390084544</v>
      </c>
      <c r="AP102" s="5">
        <f t="shared" si="92"/>
        <v>82575.071390084544</v>
      </c>
      <c r="AQ102" s="5">
        <f t="shared" si="92"/>
        <v>82575.071390084544</v>
      </c>
      <c r="AR102" s="5">
        <f t="shared" si="92"/>
        <v>82575.071390084544</v>
      </c>
      <c r="AS102" s="5">
        <f t="shared" si="92"/>
        <v>82575.071390084544</v>
      </c>
      <c r="AT102" s="5">
        <f t="shared" si="92"/>
        <v>82575.071390084544</v>
      </c>
      <c r="AU102" s="5">
        <f t="shared" si="92"/>
        <v>82575.071390084544</v>
      </c>
      <c r="AV102" s="5">
        <f t="shared" si="92"/>
        <v>82575.071390084544</v>
      </c>
      <c r="AW102" s="5">
        <f t="shared" si="92"/>
        <v>82575.071390084544</v>
      </c>
      <c r="AX102" s="5">
        <f t="shared" si="92"/>
        <v>82575.071390084544</v>
      </c>
      <c r="AY102" s="5">
        <f t="shared" si="92"/>
        <v>82575.071390084544</v>
      </c>
      <c r="AZ102" s="5">
        <f t="shared" si="92"/>
        <v>82575.071390084544</v>
      </c>
      <c r="BA102" s="5">
        <f t="shared" si="92"/>
        <v>82575.071390084544</v>
      </c>
      <c r="BB102" s="5">
        <f t="shared" si="92"/>
        <v>82575.071390084544</v>
      </c>
      <c r="BC102" s="5">
        <f t="shared" si="92"/>
        <v>82575.071390084544</v>
      </c>
      <c r="BD102" s="5">
        <f t="shared" si="92"/>
        <v>82575.071390084544</v>
      </c>
      <c r="BE102" s="5">
        <f t="shared" si="92"/>
        <v>82575.071390084544</v>
      </c>
      <c r="BF102" s="5">
        <f t="shared" si="92"/>
        <v>82575.071390084544</v>
      </c>
      <c r="BG102" s="5">
        <f t="shared" si="92"/>
        <v>82575.071390084544</v>
      </c>
      <c r="BH102" s="5">
        <f t="shared" si="92"/>
        <v>82575.071390084544</v>
      </c>
      <c r="BI102" s="5">
        <f t="shared" si="92"/>
        <v>82575.071390084544</v>
      </c>
      <c r="BJ102" s="5">
        <f t="shared" si="92"/>
        <v>82575.071390084544</v>
      </c>
      <c r="BK102" s="5">
        <f t="shared" si="92"/>
        <v>82575.071390084544</v>
      </c>
      <c r="BL102" s="5">
        <f t="shared" si="92"/>
        <v>82575.071390084544</v>
      </c>
      <c r="BM102" s="5">
        <f t="shared" si="92"/>
        <v>82575.071390084544</v>
      </c>
      <c r="BN102" s="5">
        <f t="shared" si="92"/>
        <v>82575.071390084544</v>
      </c>
      <c r="BO102" s="5">
        <f t="shared" si="92"/>
        <v>82575.071390084544</v>
      </c>
      <c r="BP102" s="5">
        <f t="shared" ref="BP102:EA102" si="93">IF(BP95&lt;=$B$26, $B$27, 0)</f>
        <v>82575.071390084544</v>
      </c>
      <c r="BQ102" s="5">
        <f t="shared" si="93"/>
        <v>82575.071390084544</v>
      </c>
      <c r="BR102" s="5">
        <f t="shared" si="93"/>
        <v>82575.071390084544</v>
      </c>
      <c r="BS102" s="5">
        <f t="shared" si="93"/>
        <v>82575.071390084544</v>
      </c>
      <c r="BT102" s="5">
        <f t="shared" si="93"/>
        <v>82575.071390084544</v>
      </c>
      <c r="BU102" s="5">
        <f t="shared" si="93"/>
        <v>82575.071390084544</v>
      </c>
      <c r="BV102" s="5">
        <f t="shared" si="93"/>
        <v>82575.071390084544</v>
      </c>
      <c r="BW102" s="5">
        <f t="shared" si="93"/>
        <v>82575.071390084544</v>
      </c>
      <c r="BX102" s="5">
        <f t="shared" si="93"/>
        <v>82575.071390084544</v>
      </c>
      <c r="BY102" s="5">
        <f t="shared" si="93"/>
        <v>82575.071390084544</v>
      </c>
      <c r="BZ102" s="5">
        <f t="shared" si="93"/>
        <v>82575.071390084544</v>
      </c>
      <c r="CA102" s="5">
        <f t="shared" si="93"/>
        <v>82575.071390084544</v>
      </c>
      <c r="CB102" s="5">
        <f t="shared" si="93"/>
        <v>82575.071390084544</v>
      </c>
      <c r="CC102" s="5">
        <f t="shared" si="93"/>
        <v>82575.071390084544</v>
      </c>
      <c r="CD102" s="5">
        <f t="shared" si="93"/>
        <v>82575.071390084544</v>
      </c>
      <c r="CE102" s="5">
        <f t="shared" si="93"/>
        <v>82575.071390084544</v>
      </c>
      <c r="CF102" s="5">
        <f t="shared" si="93"/>
        <v>82575.071390084544</v>
      </c>
      <c r="CG102" s="5">
        <f t="shared" si="93"/>
        <v>82575.071390084544</v>
      </c>
      <c r="CH102" s="5">
        <f t="shared" si="93"/>
        <v>82575.071390084544</v>
      </c>
      <c r="CI102" s="5">
        <f t="shared" si="93"/>
        <v>82575.071390084544</v>
      </c>
      <c r="CJ102" s="5">
        <f t="shared" si="93"/>
        <v>82575.071390084544</v>
      </c>
      <c r="CK102" s="5">
        <f t="shared" si="93"/>
        <v>82575.071390084544</v>
      </c>
      <c r="CL102" s="5">
        <f t="shared" si="93"/>
        <v>82575.071390084544</v>
      </c>
      <c r="CM102" s="5">
        <f t="shared" si="93"/>
        <v>82575.071390084544</v>
      </c>
      <c r="CN102" s="5">
        <f t="shared" si="93"/>
        <v>82575.071390084544</v>
      </c>
      <c r="CO102" s="5">
        <f t="shared" si="93"/>
        <v>82575.071390084544</v>
      </c>
      <c r="CP102" s="5">
        <f t="shared" si="93"/>
        <v>82575.071390084544</v>
      </c>
      <c r="CQ102" s="5">
        <f t="shared" si="93"/>
        <v>82575.071390084544</v>
      </c>
      <c r="CR102" s="5">
        <f t="shared" si="93"/>
        <v>82575.071390084544</v>
      </c>
      <c r="CS102" s="5">
        <f t="shared" si="93"/>
        <v>82575.071390084544</v>
      </c>
      <c r="CT102" s="5">
        <f t="shared" si="93"/>
        <v>82575.071390084544</v>
      </c>
      <c r="CU102" s="5">
        <f t="shared" si="93"/>
        <v>82575.071390084544</v>
      </c>
      <c r="CV102" s="5">
        <f t="shared" si="93"/>
        <v>82575.071390084544</v>
      </c>
      <c r="CW102" s="5">
        <f t="shared" si="93"/>
        <v>82575.071390084544</v>
      </c>
      <c r="CX102" s="5">
        <f t="shared" si="93"/>
        <v>82575.071390084544</v>
      </c>
      <c r="CY102" s="5">
        <f t="shared" si="93"/>
        <v>82575.071390084544</v>
      </c>
      <c r="CZ102" s="5">
        <f t="shared" si="93"/>
        <v>82575.071390084544</v>
      </c>
      <c r="DA102" s="5">
        <f t="shared" si="93"/>
        <v>82575.071390084544</v>
      </c>
      <c r="DB102" s="5">
        <f t="shared" si="93"/>
        <v>82575.071390084544</v>
      </c>
      <c r="DC102" s="5">
        <f t="shared" si="93"/>
        <v>82575.071390084544</v>
      </c>
      <c r="DD102" s="5">
        <f t="shared" si="93"/>
        <v>82575.071390084544</v>
      </c>
      <c r="DE102" s="5">
        <f t="shared" si="93"/>
        <v>82575.071390084544</v>
      </c>
      <c r="DF102" s="5">
        <f t="shared" si="93"/>
        <v>82575.071390084544</v>
      </c>
      <c r="DG102" s="5">
        <f t="shared" si="93"/>
        <v>82575.071390084544</v>
      </c>
      <c r="DH102" s="5">
        <f t="shared" si="93"/>
        <v>82575.071390084544</v>
      </c>
      <c r="DI102" s="5">
        <f t="shared" si="93"/>
        <v>82575.071390084544</v>
      </c>
      <c r="DJ102" s="5">
        <f t="shared" si="93"/>
        <v>82575.071390084544</v>
      </c>
      <c r="DK102" s="5">
        <f t="shared" si="93"/>
        <v>82575.071390084544</v>
      </c>
      <c r="DL102" s="5">
        <f t="shared" si="93"/>
        <v>82575.071390084544</v>
      </c>
      <c r="DM102" s="5">
        <f t="shared" si="93"/>
        <v>82575.071390084544</v>
      </c>
      <c r="DN102" s="5">
        <f t="shared" si="93"/>
        <v>82575.071390084544</v>
      </c>
      <c r="DO102" s="5">
        <f t="shared" si="93"/>
        <v>82575.071390084544</v>
      </c>
      <c r="DP102" s="5">
        <f t="shared" si="93"/>
        <v>82575.071390084544</v>
      </c>
      <c r="DQ102" s="5">
        <f t="shared" si="93"/>
        <v>82575.071390084544</v>
      </c>
      <c r="DR102" s="5">
        <f t="shared" si="93"/>
        <v>82575.071390084544</v>
      </c>
      <c r="DS102" s="5">
        <f t="shared" si="93"/>
        <v>82575.071390084544</v>
      </c>
      <c r="DT102" s="5">
        <f t="shared" si="93"/>
        <v>82575.071390084544</v>
      </c>
      <c r="DU102" s="5">
        <f t="shared" si="93"/>
        <v>82575.071390084544</v>
      </c>
      <c r="DV102" s="5">
        <f t="shared" si="93"/>
        <v>82575.071390084544</v>
      </c>
      <c r="DW102" s="5">
        <f t="shared" si="93"/>
        <v>82575.071390084544</v>
      </c>
      <c r="DX102" s="5">
        <f t="shared" si="93"/>
        <v>82575.071390084544</v>
      </c>
      <c r="DY102" s="5">
        <f t="shared" si="93"/>
        <v>82575.071390084544</v>
      </c>
      <c r="DZ102" s="5">
        <f t="shared" si="93"/>
        <v>82575.071390084544</v>
      </c>
      <c r="EA102" s="5">
        <f t="shared" si="93"/>
        <v>82575.071390084544</v>
      </c>
      <c r="EB102" s="5">
        <f t="shared" ref="EB102:GM102" si="94">IF(EB95&lt;=$B$26, $B$27, 0)</f>
        <v>82575.071390084544</v>
      </c>
      <c r="EC102" s="5">
        <f t="shared" si="94"/>
        <v>82575.071390084544</v>
      </c>
      <c r="ED102" s="5">
        <f t="shared" si="94"/>
        <v>82575.071390084544</v>
      </c>
      <c r="EE102" s="5">
        <f t="shared" si="94"/>
        <v>82575.071390084544</v>
      </c>
      <c r="EF102" s="5">
        <f t="shared" si="94"/>
        <v>82575.071390084544</v>
      </c>
      <c r="EG102" s="5">
        <f t="shared" si="94"/>
        <v>82575.071390084544</v>
      </c>
      <c r="EH102" s="5">
        <f t="shared" si="94"/>
        <v>82575.071390084544</v>
      </c>
      <c r="EI102" s="5">
        <f t="shared" si="94"/>
        <v>82575.071390084544</v>
      </c>
      <c r="EJ102" s="5">
        <f t="shared" si="94"/>
        <v>82575.071390084544</v>
      </c>
      <c r="EK102" s="5">
        <f t="shared" si="94"/>
        <v>82575.071390084544</v>
      </c>
      <c r="EL102" s="5">
        <f t="shared" si="94"/>
        <v>82575.071390084544</v>
      </c>
      <c r="EM102" s="5">
        <f t="shared" si="94"/>
        <v>82575.071390084544</v>
      </c>
      <c r="EN102" s="5">
        <f t="shared" si="94"/>
        <v>82575.071390084544</v>
      </c>
      <c r="EO102" s="5">
        <f t="shared" si="94"/>
        <v>82575.071390084544</v>
      </c>
      <c r="EP102" s="5">
        <f t="shared" si="94"/>
        <v>82575.071390084544</v>
      </c>
      <c r="EQ102" s="5">
        <f t="shared" si="94"/>
        <v>82575.071390084544</v>
      </c>
      <c r="ER102" s="5">
        <f t="shared" si="94"/>
        <v>82575.071390084544</v>
      </c>
      <c r="ES102" s="5">
        <f t="shared" si="94"/>
        <v>82575.071390084544</v>
      </c>
      <c r="ET102" s="5">
        <f t="shared" si="94"/>
        <v>82575.071390084544</v>
      </c>
      <c r="EU102" s="5">
        <f t="shared" si="94"/>
        <v>82575.071390084544</v>
      </c>
      <c r="EV102" s="5">
        <f t="shared" si="94"/>
        <v>82575.071390084544</v>
      </c>
      <c r="EW102" s="5">
        <f t="shared" si="94"/>
        <v>82575.071390084544</v>
      </c>
      <c r="EX102" s="5">
        <f t="shared" si="94"/>
        <v>82575.071390084544</v>
      </c>
      <c r="EY102" s="5">
        <f t="shared" si="94"/>
        <v>82575.071390084544</v>
      </c>
      <c r="EZ102" s="5">
        <f t="shared" si="94"/>
        <v>82575.071390084544</v>
      </c>
      <c r="FA102" s="5">
        <f t="shared" si="94"/>
        <v>82575.071390084544</v>
      </c>
      <c r="FB102" s="5">
        <f t="shared" si="94"/>
        <v>82575.071390084544</v>
      </c>
      <c r="FC102" s="5">
        <f t="shared" si="94"/>
        <v>82575.071390084544</v>
      </c>
      <c r="FD102" s="5">
        <f t="shared" si="94"/>
        <v>82575.071390084544</v>
      </c>
      <c r="FE102" s="5">
        <f t="shared" si="94"/>
        <v>82575.071390084544</v>
      </c>
      <c r="FF102" s="5">
        <f t="shared" si="94"/>
        <v>82575.071390084544</v>
      </c>
      <c r="FG102" s="5">
        <f t="shared" si="94"/>
        <v>82575.071390084544</v>
      </c>
      <c r="FH102" s="5">
        <f t="shared" si="94"/>
        <v>82575.071390084544</v>
      </c>
      <c r="FI102" s="5">
        <f t="shared" si="94"/>
        <v>82575.071390084544</v>
      </c>
      <c r="FJ102" s="5">
        <f t="shared" si="94"/>
        <v>82575.071390084544</v>
      </c>
      <c r="FK102" s="5">
        <f t="shared" si="94"/>
        <v>82575.071390084544</v>
      </c>
      <c r="FL102" s="5">
        <f t="shared" si="94"/>
        <v>82575.071390084544</v>
      </c>
      <c r="FM102" s="5">
        <f t="shared" si="94"/>
        <v>82575.071390084544</v>
      </c>
      <c r="FN102" s="5">
        <f t="shared" si="94"/>
        <v>82575.071390084544</v>
      </c>
      <c r="FO102" s="5">
        <f t="shared" si="94"/>
        <v>82575.071390084544</v>
      </c>
      <c r="FP102" s="5">
        <f t="shared" si="94"/>
        <v>82575.071390084544</v>
      </c>
      <c r="FQ102" s="5">
        <f t="shared" si="94"/>
        <v>82575.071390084544</v>
      </c>
      <c r="FR102" s="5">
        <f t="shared" si="94"/>
        <v>82575.071390084544</v>
      </c>
      <c r="FS102" s="5">
        <f t="shared" si="94"/>
        <v>82575.071390084544</v>
      </c>
      <c r="FT102" s="5">
        <f t="shared" si="94"/>
        <v>82575.071390084544</v>
      </c>
      <c r="FU102" s="5">
        <f t="shared" si="94"/>
        <v>82575.071390084544</v>
      </c>
      <c r="FV102" s="5">
        <f t="shared" si="94"/>
        <v>82575.071390084544</v>
      </c>
      <c r="FW102" s="5">
        <f t="shared" si="94"/>
        <v>82575.071390084544</v>
      </c>
      <c r="FX102" s="5">
        <f t="shared" si="94"/>
        <v>82575.071390084544</v>
      </c>
      <c r="FY102" s="5">
        <f t="shared" si="94"/>
        <v>82575.071390084544</v>
      </c>
      <c r="FZ102" s="5">
        <f t="shared" si="94"/>
        <v>82575.071390084544</v>
      </c>
      <c r="GA102" s="5">
        <f t="shared" si="94"/>
        <v>82575.071390084544</v>
      </c>
      <c r="GB102" s="5">
        <f t="shared" si="94"/>
        <v>82575.071390084544</v>
      </c>
      <c r="GC102" s="5">
        <f t="shared" si="94"/>
        <v>82575.071390084544</v>
      </c>
      <c r="GD102" s="5">
        <f t="shared" si="94"/>
        <v>82575.071390084544</v>
      </c>
      <c r="GE102" s="5">
        <f t="shared" si="94"/>
        <v>82575.071390084544</v>
      </c>
      <c r="GF102" s="5">
        <f t="shared" si="94"/>
        <v>82575.071390084544</v>
      </c>
      <c r="GG102" s="5">
        <f t="shared" si="94"/>
        <v>82575.071390084544</v>
      </c>
      <c r="GH102" s="5">
        <f t="shared" si="94"/>
        <v>82575.071390084544</v>
      </c>
      <c r="GI102" s="5">
        <f t="shared" si="94"/>
        <v>82575.071390084544</v>
      </c>
      <c r="GJ102" s="5">
        <f t="shared" si="94"/>
        <v>82575.071390084544</v>
      </c>
      <c r="GK102" s="5">
        <f t="shared" si="94"/>
        <v>82575.071390084544</v>
      </c>
      <c r="GL102" s="5">
        <f t="shared" si="94"/>
        <v>82575.071390084544</v>
      </c>
      <c r="GM102" s="5">
        <f t="shared" si="94"/>
        <v>82575.071390084544</v>
      </c>
      <c r="GN102" s="5">
        <f t="shared" ref="GN102:IY102" si="95">IF(GN95&lt;=$B$26, $B$27, 0)</f>
        <v>82575.071390084544</v>
      </c>
      <c r="GO102" s="5">
        <f t="shared" si="95"/>
        <v>82575.071390084544</v>
      </c>
      <c r="GP102" s="5">
        <f t="shared" si="95"/>
        <v>82575.071390084544</v>
      </c>
      <c r="GQ102" s="5">
        <f t="shared" si="95"/>
        <v>82575.071390084544</v>
      </c>
      <c r="GR102" s="5">
        <f t="shared" si="95"/>
        <v>82575.071390084544</v>
      </c>
      <c r="GS102" s="5">
        <f t="shared" si="95"/>
        <v>82575.071390084544</v>
      </c>
      <c r="GT102" s="5">
        <f t="shared" si="95"/>
        <v>82575.071390084544</v>
      </c>
      <c r="GU102" s="5">
        <f t="shared" si="95"/>
        <v>82575.071390084544</v>
      </c>
      <c r="GV102" s="5">
        <f t="shared" si="95"/>
        <v>82575.071390084544</v>
      </c>
      <c r="GW102" s="5">
        <f t="shared" si="95"/>
        <v>82575.071390084544</v>
      </c>
      <c r="GX102" s="5">
        <f t="shared" si="95"/>
        <v>82575.071390084544</v>
      </c>
      <c r="GY102" s="5">
        <f t="shared" si="95"/>
        <v>82575.071390084544</v>
      </c>
      <c r="GZ102" s="5">
        <f t="shared" si="95"/>
        <v>82575.071390084544</v>
      </c>
      <c r="HA102" s="5">
        <f t="shared" si="95"/>
        <v>82575.071390084544</v>
      </c>
      <c r="HB102" s="5">
        <f t="shared" si="95"/>
        <v>82575.071390084544</v>
      </c>
      <c r="HC102" s="5">
        <f t="shared" si="95"/>
        <v>82575.071390084544</v>
      </c>
      <c r="HD102" s="5">
        <f t="shared" si="95"/>
        <v>82575.071390084544</v>
      </c>
      <c r="HE102" s="5">
        <f t="shared" si="95"/>
        <v>82575.071390084544</v>
      </c>
      <c r="HF102" s="5">
        <f t="shared" si="95"/>
        <v>82575.071390084544</v>
      </c>
      <c r="HG102" s="5">
        <f t="shared" si="95"/>
        <v>82575.071390084544</v>
      </c>
      <c r="HH102" s="5">
        <f t="shared" si="95"/>
        <v>82575.071390084544</v>
      </c>
      <c r="HI102" s="5">
        <f t="shared" si="95"/>
        <v>82575.071390084544</v>
      </c>
      <c r="HJ102" s="5">
        <f t="shared" si="95"/>
        <v>82575.071390084544</v>
      </c>
      <c r="HK102" s="5">
        <f t="shared" si="95"/>
        <v>82575.071390084544</v>
      </c>
      <c r="HL102" s="5">
        <f t="shared" si="95"/>
        <v>82575.071390084544</v>
      </c>
      <c r="HM102" s="5">
        <f t="shared" si="95"/>
        <v>82575.071390084544</v>
      </c>
      <c r="HN102" s="5">
        <f t="shared" si="95"/>
        <v>82575.071390084544</v>
      </c>
      <c r="HO102" s="5">
        <f t="shared" si="95"/>
        <v>82575.071390084544</v>
      </c>
      <c r="HP102" s="5">
        <f t="shared" si="95"/>
        <v>82575.071390084544</v>
      </c>
      <c r="HQ102" s="5">
        <f t="shared" si="95"/>
        <v>82575.071390084544</v>
      </c>
      <c r="HR102" s="5">
        <f t="shared" si="95"/>
        <v>82575.071390084544</v>
      </c>
      <c r="HS102" s="5">
        <f t="shared" si="95"/>
        <v>82575.071390084544</v>
      </c>
      <c r="HT102" s="5">
        <f t="shared" si="95"/>
        <v>82575.071390084544</v>
      </c>
      <c r="HU102" s="5">
        <f t="shared" si="95"/>
        <v>82575.071390084544</v>
      </c>
      <c r="HV102" s="5">
        <f t="shared" si="95"/>
        <v>82575.071390084544</v>
      </c>
      <c r="HW102" s="5">
        <f t="shared" si="95"/>
        <v>82575.071390084544</v>
      </c>
      <c r="HX102" s="5">
        <f t="shared" si="95"/>
        <v>82575.071390084544</v>
      </c>
      <c r="HY102" s="5">
        <f t="shared" si="95"/>
        <v>82575.071390084544</v>
      </c>
      <c r="HZ102" s="5">
        <f t="shared" si="95"/>
        <v>82575.071390084544</v>
      </c>
      <c r="IA102" s="5">
        <f t="shared" si="95"/>
        <v>82575.071390084544</v>
      </c>
      <c r="IB102" s="5">
        <f t="shared" si="95"/>
        <v>82575.071390084544</v>
      </c>
      <c r="IC102" s="5">
        <f t="shared" si="95"/>
        <v>82575.071390084544</v>
      </c>
      <c r="ID102" s="5">
        <f t="shared" si="95"/>
        <v>82575.071390084544</v>
      </c>
      <c r="IE102" s="5">
        <f t="shared" si="95"/>
        <v>82575.071390084544</v>
      </c>
      <c r="IF102" s="5">
        <f t="shared" si="95"/>
        <v>82575.071390084544</v>
      </c>
      <c r="IG102" s="5">
        <f t="shared" si="95"/>
        <v>82575.071390084544</v>
      </c>
      <c r="IH102" s="5">
        <f t="shared" si="95"/>
        <v>82575.071390084544</v>
      </c>
      <c r="II102" s="5">
        <f t="shared" si="95"/>
        <v>0</v>
      </c>
      <c r="IJ102" s="5">
        <f t="shared" si="95"/>
        <v>0</v>
      </c>
      <c r="IK102" s="5">
        <f t="shared" si="95"/>
        <v>0</v>
      </c>
      <c r="IL102" s="5">
        <f t="shared" si="95"/>
        <v>0</v>
      </c>
      <c r="IM102" s="5">
        <f t="shared" si="95"/>
        <v>0</v>
      </c>
      <c r="IN102" s="5">
        <f t="shared" si="95"/>
        <v>0</v>
      </c>
      <c r="IO102" s="5">
        <f t="shared" si="95"/>
        <v>0</v>
      </c>
      <c r="IP102" s="5">
        <f t="shared" si="95"/>
        <v>0</v>
      </c>
      <c r="IQ102" s="5">
        <f t="shared" si="95"/>
        <v>0</v>
      </c>
      <c r="IR102" s="5">
        <f t="shared" si="95"/>
        <v>0</v>
      </c>
      <c r="IS102" s="5">
        <f t="shared" si="95"/>
        <v>0</v>
      </c>
      <c r="IT102" s="5">
        <f t="shared" si="95"/>
        <v>0</v>
      </c>
      <c r="IU102" s="5">
        <f t="shared" si="95"/>
        <v>0</v>
      </c>
      <c r="IV102" s="5">
        <f t="shared" si="95"/>
        <v>0</v>
      </c>
      <c r="IW102" s="5">
        <f t="shared" si="95"/>
        <v>0</v>
      </c>
      <c r="IX102" s="5">
        <f t="shared" si="95"/>
        <v>0</v>
      </c>
      <c r="IY102" s="5">
        <f t="shared" si="95"/>
        <v>0</v>
      </c>
      <c r="IZ102" s="5">
        <f t="shared" ref="IZ102:LK102" si="96">IF(IZ95&lt;=$B$26, $B$27, 0)</f>
        <v>0</v>
      </c>
      <c r="JA102" s="5">
        <f t="shared" si="96"/>
        <v>0</v>
      </c>
      <c r="JB102" s="5">
        <f t="shared" si="96"/>
        <v>0</v>
      </c>
      <c r="JC102" s="5">
        <f t="shared" si="96"/>
        <v>0</v>
      </c>
      <c r="JD102" s="5">
        <f t="shared" si="96"/>
        <v>0</v>
      </c>
      <c r="JE102" s="5">
        <f t="shared" si="96"/>
        <v>0</v>
      </c>
      <c r="JF102" s="5">
        <f t="shared" si="96"/>
        <v>0</v>
      </c>
      <c r="JG102" s="5">
        <f t="shared" si="96"/>
        <v>0</v>
      </c>
      <c r="JH102" s="5">
        <f t="shared" si="96"/>
        <v>0</v>
      </c>
      <c r="JI102" s="5">
        <f t="shared" si="96"/>
        <v>0</v>
      </c>
      <c r="JJ102" s="5">
        <f t="shared" si="96"/>
        <v>0</v>
      </c>
      <c r="JK102" s="5">
        <f t="shared" si="96"/>
        <v>0</v>
      </c>
      <c r="JL102" s="5">
        <f t="shared" si="96"/>
        <v>0</v>
      </c>
      <c r="JM102" s="5">
        <f t="shared" si="96"/>
        <v>0</v>
      </c>
      <c r="JN102" s="5">
        <f t="shared" si="96"/>
        <v>0</v>
      </c>
      <c r="JO102" s="5">
        <f t="shared" si="96"/>
        <v>0</v>
      </c>
      <c r="JP102" s="5">
        <f t="shared" si="96"/>
        <v>0</v>
      </c>
      <c r="JQ102" s="5">
        <f t="shared" si="96"/>
        <v>0</v>
      </c>
      <c r="JR102" s="5">
        <f t="shared" si="96"/>
        <v>0</v>
      </c>
      <c r="JS102" s="5">
        <f t="shared" si="96"/>
        <v>0</v>
      </c>
      <c r="JT102" s="5">
        <f t="shared" si="96"/>
        <v>0</v>
      </c>
      <c r="JU102" s="5">
        <f t="shared" si="96"/>
        <v>0</v>
      </c>
      <c r="JV102" s="5">
        <f t="shared" si="96"/>
        <v>0</v>
      </c>
      <c r="JW102" s="5">
        <f t="shared" si="96"/>
        <v>0</v>
      </c>
      <c r="JX102" s="5">
        <f t="shared" si="96"/>
        <v>0</v>
      </c>
      <c r="JY102" s="5">
        <f t="shared" si="96"/>
        <v>0</v>
      </c>
      <c r="JZ102" s="5">
        <f t="shared" si="96"/>
        <v>0</v>
      </c>
      <c r="KA102" s="5">
        <f t="shared" si="96"/>
        <v>0</v>
      </c>
      <c r="KB102" s="5">
        <f t="shared" si="96"/>
        <v>0</v>
      </c>
      <c r="KC102" s="5">
        <f t="shared" si="96"/>
        <v>0</v>
      </c>
      <c r="KD102" s="5">
        <f t="shared" si="96"/>
        <v>0</v>
      </c>
      <c r="KE102" s="5">
        <f t="shared" si="96"/>
        <v>0</v>
      </c>
      <c r="KF102" s="5">
        <f t="shared" si="96"/>
        <v>0</v>
      </c>
      <c r="KG102" s="5">
        <f t="shared" si="96"/>
        <v>0</v>
      </c>
      <c r="KH102" s="5">
        <f t="shared" si="96"/>
        <v>0</v>
      </c>
      <c r="KI102" s="5">
        <f t="shared" si="96"/>
        <v>0</v>
      </c>
      <c r="KJ102" s="5">
        <f t="shared" si="96"/>
        <v>0</v>
      </c>
      <c r="KK102" s="5">
        <f t="shared" si="96"/>
        <v>0</v>
      </c>
      <c r="KL102" s="5">
        <f t="shared" si="96"/>
        <v>0</v>
      </c>
      <c r="KM102" s="5">
        <f t="shared" si="96"/>
        <v>0</v>
      </c>
      <c r="KN102" s="5">
        <f t="shared" si="96"/>
        <v>0</v>
      </c>
      <c r="KO102" s="5">
        <f t="shared" si="96"/>
        <v>0</v>
      </c>
      <c r="KP102" s="5">
        <f t="shared" si="96"/>
        <v>0</v>
      </c>
      <c r="KQ102" s="5">
        <f t="shared" si="96"/>
        <v>0</v>
      </c>
      <c r="KR102" s="5">
        <f t="shared" si="96"/>
        <v>0</v>
      </c>
      <c r="KS102" s="5">
        <f t="shared" si="96"/>
        <v>0</v>
      </c>
      <c r="KT102" s="5">
        <f t="shared" si="96"/>
        <v>0</v>
      </c>
      <c r="KU102" s="5">
        <f t="shared" si="96"/>
        <v>0</v>
      </c>
      <c r="KV102" s="5">
        <f t="shared" si="96"/>
        <v>0</v>
      </c>
      <c r="KW102" s="5">
        <f t="shared" si="96"/>
        <v>0</v>
      </c>
      <c r="KX102" s="5">
        <f t="shared" si="96"/>
        <v>0</v>
      </c>
      <c r="KY102" s="5">
        <f t="shared" si="96"/>
        <v>0</v>
      </c>
      <c r="KZ102" s="5">
        <f t="shared" si="96"/>
        <v>0</v>
      </c>
      <c r="LA102" s="5">
        <f t="shared" si="96"/>
        <v>0</v>
      </c>
      <c r="LB102" s="5">
        <f t="shared" si="96"/>
        <v>0</v>
      </c>
      <c r="LC102" s="5">
        <f t="shared" si="96"/>
        <v>0</v>
      </c>
      <c r="LD102" s="5">
        <f t="shared" si="96"/>
        <v>0</v>
      </c>
      <c r="LE102" s="5">
        <f t="shared" si="96"/>
        <v>0</v>
      </c>
      <c r="LF102" s="5">
        <f t="shared" si="96"/>
        <v>0</v>
      </c>
      <c r="LG102" s="5">
        <f t="shared" si="96"/>
        <v>0</v>
      </c>
      <c r="LH102" s="5">
        <f t="shared" si="96"/>
        <v>0</v>
      </c>
      <c r="LI102" s="5">
        <f t="shared" si="96"/>
        <v>0</v>
      </c>
      <c r="LJ102" s="5">
        <f t="shared" si="96"/>
        <v>0</v>
      </c>
      <c r="LK102" s="5">
        <f t="shared" si="96"/>
        <v>0</v>
      </c>
      <c r="LL102" s="5">
        <f t="shared" ref="LL102:NW102" si="97">IF(LL95&lt;=$B$26, $B$27, 0)</f>
        <v>0</v>
      </c>
      <c r="LM102" s="5">
        <f t="shared" si="97"/>
        <v>0</v>
      </c>
      <c r="LN102" s="5">
        <f t="shared" si="97"/>
        <v>0</v>
      </c>
      <c r="LO102" s="5">
        <f t="shared" si="97"/>
        <v>0</v>
      </c>
      <c r="LP102" s="5">
        <f t="shared" si="97"/>
        <v>0</v>
      </c>
      <c r="LQ102" s="5">
        <f t="shared" si="97"/>
        <v>0</v>
      </c>
      <c r="LR102" s="5">
        <f t="shared" si="97"/>
        <v>0</v>
      </c>
      <c r="LS102" s="5">
        <f t="shared" si="97"/>
        <v>0</v>
      </c>
      <c r="LT102" s="5">
        <f t="shared" si="97"/>
        <v>0</v>
      </c>
      <c r="LU102" s="5">
        <f t="shared" si="97"/>
        <v>0</v>
      </c>
      <c r="LV102" s="5">
        <f t="shared" si="97"/>
        <v>0</v>
      </c>
      <c r="LW102" s="5">
        <f t="shared" si="97"/>
        <v>0</v>
      </c>
      <c r="LX102" s="5">
        <f t="shared" si="97"/>
        <v>0</v>
      </c>
      <c r="LY102" s="5">
        <f t="shared" si="97"/>
        <v>0</v>
      </c>
      <c r="LZ102" s="5">
        <f t="shared" si="97"/>
        <v>0</v>
      </c>
      <c r="MA102" s="5">
        <f t="shared" si="97"/>
        <v>0</v>
      </c>
      <c r="MB102" s="5">
        <f t="shared" si="97"/>
        <v>0</v>
      </c>
      <c r="MC102" s="5">
        <f t="shared" si="97"/>
        <v>0</v>
      </c>
      <c r="MD102" s="5">
        <f t="shared" si="97"/>
        <v>0</v>
      </c>
      <c r="ME102" s="5">
        <f t="shared" si="97"/>
        <v>0</v>
      </c>
      <c r="MF102" s="5">
        <f t="shared" si="97"/>
        <v>0</v>
      </c>
      <c r="MG102" s="5">
        <f t="shared" si="97"/>
        <v>0</v>
      </c>
      <c r="MH102" s="5">
        <f t="shared" si="97"/>
        <v>0</v>
      </c>
      <c r="MI102" s="5">
        <f t="shared" si="97"/>
        <v>0</v>
      </c>
      <c r="MJ102" s="5">
        <f t="shared" si="97"/>
        <v>0</v>
      </c>
      <c r="MK102" s="5">
        <f t="shared" si="97"/>
        <v>0</v>
      </c>
      <c r="ML102" s="5">
        <f t="shared" si="97"/>
        <v>0</v>
      </c>
      <c r="MM102" s="5">
        <f t="shared" si="97"/>
        <v>0</v>
      </c>
      <c r="MN102" s="5">
        <f t="shared" si="97"/>
        <v>0</v>
      </c>
      <c r="MO102" s="5">
        <f t="shared" si="97"/>
        <v>0</v>
      </c>
      <c r="MP102" s="5">
        <f t="shared" si="97"/>
        <v>0</v>
      </c>
      <c r="MQ102" s="5">
        <f t="shared" si="97"/>
        <v>0</v>
      </c>
      <c r="MR102" s="5">
        <f t="shared" si="97"/>
        <v>0</v>
      </c>
      <c r="MS102" s="5">
        <f t="shared" si="97"/>
        <v>0</v>
      </c>
      <c r="MT102" s="5">
        <f t="shared" si="97"/>
        <v>0</v>
      </c>
      <c r="MU102" s="5">
        <f t="shared" si="97"/>
        <v>0</v>
      </c>
      <c r="MV102" s="5">
        <f t="shared" si="97"/>
        <v>0</v>
      </c>
      <c r="MW102" s="5">
        <f t="shared" si="97"/>
        <v>0</v>
      </c>
      <c r="MX102" s="5">
        <f t="shared" si="97"/>
        <v>0</v>
      </c>
      <c r="MY102" s="5">
        <f t="shared" si="97"/>
        <v>0</v>
      </c>
      <c r="MZ102" s="5">
        <f t="shared" si="97"/>
        <v>0</v>
      </c>
      <c r="NA102" s="5">
        <f t="shared" si="97"/>
        <v>0</v>
      </c>
      <c r="NB102" s="5">
        <f t="shared" si="97"/>
        <v>0</v>
      </c>
      <c r="NC102" s="5">
        <f t="shared" si="97"/>
        <v>0</v>
      </c>
      <c r="ND102" s="5">
        <f t="shared" si="97"/>
        <v>0</v>
      </c>
      <c r="NE102" s="5">
        <f t="shared" si="97"/>
        <v>0</v>
      </c>
      <c r="NF102" s="5">
        <f t="shared" si="97"/>
        <v>0</v>
      </c>
      <c r="NG102" s="5">
        <f t="shared" si="97"/>
        <v>0</v>
      </c>
      <c r="NH102" s="5">
        <f t="shared" si="97"/>
        <v>0</v>
      </c>
      <c r="NI102" s="5">
        <f t="shared" si="97"/>
        <v>0</v>
      </c>
      <c r="NJ102" s="5">
        <f t="shared" si="97"/>
        <v>0</v>
      </c>
      <c r="NK102" s="5">
        <f t="shared" si="97"/>
        <v>0</v>
      </c>
      <c r="NL102" s="5">
        <f t="shared" si="97"/>
        <v>0</v>
      </c>
      <c r="NM102" s="5">
        <f t="shared" si="97"/>
        <v>0</v>
      </c>
      <c r="NN102" s="5">
        <f t="shared" si="97"/>
        <v>0</v>
      </c>
      <c r="NO102" s="5">
        <f t="shared" si="97"/>
        <v>0</v>
      </c>
      <c r="NP102" s="5">
        <f t="shared" si="97"/>
        <v>0</v>
      </c>
      <c r="NQ102" s="5">
        <f t="shared" si="97"/>
        <v>0</v>
      </c>
      <c r="NR102" s="5">
        <f t="shared" si="97"/>
        <v>0</v>
      </c>
      <c r="NS102" s="5">
        <f t="shared" si="97"/>
        <v>0</v>
      </c>
      <c r="NT102" s="5">
        <f t="shared" si="97"/>
        <v>0</v>
      </c>
      <c r="NU102" s="5">
        <f t="shared" si="97"/>
        <v>0</v>
      </c>
      <c r="NV102" s="5">
        <f t="shared" si="97"/>
        <v>0</v>
      </c>
      <c r="NW102" s="5">
        <f t="shared" si="97"/>
        <v>0</v>
      </c>
      <c r="NX102" s="5">
        <f t="shared" ref="NX102:PF102" si="98">IF(NX95&lt;=$B$26, $B$27, 0)</f>
        <v>0</v>
      </c>
      <c r="NY102" s="5">
        <f t="shared" si="98"/>
        <v>0</v>
      </c>
      <c r="NZ102" s="5">
        <f t="shared" si="98"/>
        <v>0</v>
      </c>
      <c r="OA102" s="5">
        <f t="shared" si="98"/>
        <v>0</v>
      </c>
      <c r="OB102" s="5">
        <f t="shared" si="98"/>
        <v>0</v>
      </c>
      <c r="OC102" s="5">
        <f t="shared" si="98"/>
        <v>0</v>
      </c>
      <c r="OD102" s="5">
        <f t="shared" si="98"/>
        <v>0</v>
      </c>
      <c r="OE102" s="5">
        <f t="shared" si="98"/>
        <v>0</v>
      </c>
      <c r="OF102" s="5">
        <f t="shared" si="98"/>
        <v>0</v>
      </c>
      <c r="OG102" s="5">
        <f t="shared" si="98"/>
        <v>0</v>
      </c>
      <c r="OH102" s="5">
        <f t="shared" si="98"/>
        <v>0</v>
      </c>
      <c r="OI102" s="5">
        <f t="shared" si="98"/>
        <v>0</v>
      </c>
      <c r="OJ102" s="5">
        <f t="shared" si="98"/>
        <v>0</v>
      </c>
      <c r="OK102" s="5">
        <f t="shared" si="98"/>
        <v>0</v>
      </c>
      <c r="OL102" s="5">
        <f t="shared" si="98"/>
        <v>0</v>
      </c>
      <c r="OM102" s="5">
        <f t="shared" si="98"/>
        <v>0</v>
      </c>
      <c r="ON102" s="5">
        <f t="shared" si="98"/>
        <v>0</v>
      </c>
      <c r="OO102" s="5">
        <f t="shared" si="98"/>
        <v>0</v>
      </c>
      <c r="OP102" s="5">
        <f t="shared" si="98"/>
        <v>0</v>
      </c>
      <c r="OQ102" s="5">
        <f t="shared" si="98"/>
        <v>0</v>
      </c>
      <c r="OR102" s="5">
        <f t="shared" si="98"/>
        <v>0</v>
      </c>
      <c r="OS102" s="5">
        <f t="shared" si="98"/>
        <v>0</v>
      </c>
      <c r="OT102" s="5">
        <f t="shared" si="98"/>
        <v>0</v>
      </c>
      <c r="OU102" s="5">
        <f t="shared" si="98"/>
        <v>0</v>
      </c>
      <c r="OV102" s="5">
        <f t="shared" si="98"/>
        <v>0</v>
      </c>
      <c r="OW102" s="5">
        <f t="shared" si="98"/>
        <v>0</v>
      </c>
      <c r="OX102" s="5">
        <f t="shared" si="98"/>
        <v>0</v>
      </c>
      <c r="OY102" s="5">
        <f t="shared" si="98"/>
        <v>0</v>
      </c>
      <c r="OZ102" s="5">
        <f t="shared" si="98"/>
        <v>0</v>
      </c>
      <c r="PA102" s="5">
        <f t="shared" si="98"/>
        <v>0</v>
      </c>
      <c r="PB102" s="5">
        <f t="shared" si="98"/>
        <v>0</v>
      </c>
      <c r="PC102" s="5">
        <f t="shared" si="98"/>
        <v>0</v>
      </c>
      <c r="PD102" s="5">
        <f t="shared" si="98"/>
        <v>0</v>
      </c>
      <c r="PE102" s="5">
        <f t="shared" si="98"/>
        <v>0</v>
      </c>
      <c r="PF102" s="5">
        <f t="shared" si="98"/>
        <v>0</v>
      </c>
    </row>
    <row r="103" spans="1:422" hidden="1">
      <c r="A103" s="6" t="s">
        <v>38</v>
      </c>
      <c r="C103" s="18">
        <f>IF(C95&lt;=$B$26, B99*($B$25/12), 0)</f>
        <v>73333.333333333328</v>
      </c>
      <c r="D103" s="5">
        <f>IF(D95&lt;=$B$26, C99*($B$25/12), 0)</f>
        <v>73248.617401146446</v>
      </c>
      <c r="E103" s="5">
        <f t="shared" ref="E103:BO103" si="99">IF(E95&lt;=$B$26, D99*($B$25/12), 0)</f>
        <v>73163.12490624786</v>
      </c>
      <c r="F103" s="5">
        <f>IF(F95&lt;=$B$26, E99*($B$25/12), 0)</f>
        <v>73076.848730146026</v>
      </c>
      <c r="G103" s="5">
        <f t="shared" si="99"/>
        <v>72989.781689096577</v>
      </c>
      <c r="H103" s="5">
        <f t="shared" si="99"/>
        <v>72901.916533504191</v>
      </c>
      <c r="I103" s="5">
        <f t="shared" si="99"/>
        <v>72813.245947318879</v>
      </c>
      <c r="J103" s="5">
        <f t="shared" si="99"/>
        <v>72723.762547426857</v>
      </c>
      <c r="K103" s="5">
        <f t="shared" si="99"/>
        <v>72633.458883035826</v>
      </c>
      <c r="L103" s="5">
        <f t="shared" si="99"/>
        <v>72542.32743505454</v>
      </c>
      <c r="M103" s="5">
        <f t="shared" si="99"/>
        <v>72450.360615466765</v>
      </c>
      <c r="N103" s="5">
        <f t="shared" si="99"/>
        <v>72357.550766699424</v>
      </c>
      <c r="O103" s="5">
        <f t="shared" si="99"/>
        <v>72263.890160985073</v>
      </c>
      <c r="P103" s="5">
        <f t="shared" si="99"/>
        <v>72169.370999718318</v>
      </c>
      <c r="Q103" s="5">
        <f t="shared" si="99"/>
        <v>72073.985412806636</v>
      </c>
      <c r="R103" s="5">
        <f t="shared" si="99"/>
        <v>71977.725458014917</v>
      </c>
      <c r="S103" s="5">
        <f t="shared" si="99"/>
        <v>71880.583120304291</v>
      </c>
      <c r="T103" s="5">
        <f t="shared" si="99"/>
        <v>71782.550311164639</v>
      </c>
      <c r="U103" s="5">
        <f t="shared" si="99"/>
        <v>71683.618867941201</v>
      </c>
      <c r="V103" s="5">
        <f t="shared" si="99"/>
        <v>71583.78055315488</v>
      </c>
      <c r="W103" s="5">
        <f t="shared" si="99"/>
        <v>71483.02705381636</v>
      </c>
      <c r="X103" s="5">
        <f t="shared" si="99"/>
        <v>71381.34998073391</v>
      </c>
      <c r="Y103" s="5">
        <f t="shared" si="99"/>
        <v>71278.740867814864</v>
      </c>
      <c r="Z103" s="5">
        <f t="shared" si="99"/>
        <v>71175.191171360726</v>
      </c>
      <c r="AA103" s="5">
        <f t="shared" si="99"/>
        <v>71070.692269355757</v>
      </c>
      <c r="AB103" s="5">
        <f t="shared" si="99"/>
        <v>70965.235460749071</v>
      </c>
      <c r="AC103" s="5">
        <f t="shared" si="99"/>
        <v>70858.811964730165</v>
      </c>
      <c r="AD103" s="5">
        <f t="shared" si="99"/>
        <v>70751.412919997761</v>
      </c>
      <c r="AE103" s="5">
        <f t="shared" si="99"/>
        <v>70643.029384021953</v>
      </c>
      <c r="AF103" s="5">
        <f t="shared" si="99"/>
        <v>70533.652332299724</v>
      </c>
      <c r="AG103" s="5">
        <f t="shared" si="99"/>
        <v>70423.27265760336</v>
      </c>
      <c r="AH103" s="5">
        <f t="shared" si="99"/>
        <v>70311.881169222281</v>
      </c>
      <c r="AI103" s="5">
        <f t="shared" si="99"/>
        <v>70199.468592197707</v>
      </c>
      <c r="AJ103" s="5">
        <f t="shared" si="99"/>
        <v>70086.025566550408</v>
      </c>
      <c r="AK103" s="5">
        <f t="shared" si="99"/>
        <v>69971.542646501344</v>
      </c>
      <c r="AL103" s="5">
        <f t="shared" si="99"/>
        <v>69856.010299685178</v>
      </c>
      <c r="AM103" s="5">
        <f t="shared" si="99"/>
        <v>69739.418906356514</v>
      </c>
      <c r="AN103" s="5">
        <f t="shared" si="99"/>
        <v>69621.758758589014</v>
      </c>
      <c r="AO103" s="5">
        <f t="shared" si="99"/>
        <v>69503.020059466973</v>
      </c>
      <c r="AP103" s="5">
        <f t="shared" si="99"/>
        <v>69383.192922269634</v>
      </c>
      <c r="AQ103" s="5">
        <f t="shared" si="99"/>
        <v>69262.267369648005</v>
      </c>
      <c r="AR103" s="5">
        <f t="shared" si="99"/>
        <v>69140.233332794</v>
      </c>
      <c r="AS103" s="5">
        <f t="shared" si="99"/>
        <v>69017.080650602176</v>
      </c>
      <c r="AT103" s="5">
        <f t="shared" si="99"/>
        <v>68892.799068823588</v>
      </c>
      <c r="AU103" s="5">
        <f t="shared" si="99"/>
        <v>68767.378239212019</v>
      </c>
      <c r="AV103" s="5">
        <f t="shared" si="99"/>
        <v>68640.807718662356</v>
      </c>
      <c r="AW103" s="5">
        <f t="shared" si="99"/>
        <v>68513.076968340989</v>
      </c>
      <c r="AX103" s="5">
        <f t="shared" si="99"/>
        <v>68384.175352808335</v>
      </c>
      <c r="AY103" s="5">
        <f t="shared" si="99"/>
        <v>68254.09213913331</v>
      </c>
      <c r="AZ103" s="5">
        <f t="shared" si="99"/>
        <v>68122.816495999592</v>
      </c>
      <c r="BA103" s="5">
        <f t="shared" si="99"/>
        <v>67990.33749280381</v>
      </c>
      <c r="BB103" s="5">
        <f t="shared" si="99"/>
        <v>67856.644098745397</v>
      </c>
      <c r="BC103" s="5">
        <f t="shared" si="99"/>
        <v>67721.725181908114</v>
      </c>
      <c r="BD103" s="5">
        <f t="shared" si="99"/>
        <v>67585.569508333167</v>
      </c>
      <c r="BE103" s="5">
        <f t="shared" si="99"/>
        <v>67448.16574108378</v>
      </c>
      <c r="BF103" s="5">
        <f t="shared" si="99"/>
        <v>67309.502439301272</v>
      </c>
      <c r="BG103" s="5">
        <f t="shared" si="99"/>
        <v>67169.568057252429</v>
      </c>
      <c r="BH103" s="5">
        <f t="shared" si="99"/>
        <v>67028.350943368132</v>
      </c>
      <c r="BI103" s="5">
        <f t="shared" si="99"/>
        <v>66885.83933927324</v>
      </c>
      <c r="BJ103" s="5">
        <f t="shared" si="99"/>
        <v>66742.021378807476</v>
      </c>
      <c r="BK103" s="5">
        <f t="shared" si="99"/>
        <v>66596.88508703743</v>
      </c>
      <c r="BL103" s="5">
        <f t="shared" si="99"/>
        <v>66450.418379259499</v>
      </c>
      <c r="BM103" s="5">
        <f t="shared" si="99"/>
        <v>66302.6090599936</v>
      </c>
      <c r="BN103" s="5">
        <f t="shared" si="99"/>
        <v>66153.444821967772</v>
      </c>
      <c r="BO103" s="5">
        <f t="shared" si="99"/>
        <v>66002.913245093354</v>
      </c>
      <c r="BP103" s="5">
        <f t="shared" ref="BP103:EA103" si="100">IF(BP95&lt;=$B$26, BO99*($B$25/12), 0)</f>
        <v>65851.001795430944</v>
      </c>
      <c r="BQ103" s="5">
        <f t="shared" si="100"/>
        <v>65697.697824146628</v>
      </c>
      <c r="BR103" s="5">
        <f t="shared" si="100"/>
        <v>65542.988566458851</v>
      </c>
      <c r="BS103" s="5">
        <f t="shared" si="100"/>
        <v>65386.861140575616</v>
      </c>
      <c r="BT103" s="5">
        <f t="shared" si="100"/>
        <v>65229.302546621788</v>
      </c>
      <c r="BU103" s="5">
        <f t="shared" si="100"/>
        <v>65070.299665556711</v>
      </c>
      <c r="BV103" s="5">
        <f t="shared" si="100"/>
        <v>64909.839258081876</v>
      </c>
      <c r="BW103" s="5">
        <f t="shared" si="100"/>
        <v>64747.907963538521</v>
      </c>
      <c r="BX103" s="5">
        <f t="shared" si="100"/>
        <v>64584.49229879518</v>
      </c>
      <c r="BY103" s="5">
        <f t="shared" si="100"/>
        <v>64419.578657125028</v>
      </c>
      <c r="BZ103" s="5">
        <f t="shared" si="100"/>
        <v>64253.153307072891</v>
      </c>
      <c r="CA103" s="5">
        <f t="shared" si="100"/>
        <v>64085.202391311948</v>
      </c>
      <c r="CB103" s="5">
        <f t="shared" si="100"/>
        <v>63915.711925489872</v>
      </c>
      <c r="CC103" s="5">
        <f t="shared" si="100"/>
        <v>63744.667797064416</v>
      </c>
      <c r="CD103" s="5">
        <f t="shared" si="100"/>
        <v>63572.055764128396</v>
      </c>
      <c r="CE103" s="5">
        <f t="shared" si="100"/>
        <v>63397.861454223792</v>
      </c>
      <c r="CF103" s="5">
        <f t="shared" si="100"/>
        <v>63222.070363145067</v>
      </c>
      <c r="CG103" s="5">
        <f t="shared" si="100"/>
        <v>63044.667853731458</v>
      </c>
      <c r="CH103" s="5">
        <f t="shared" si="100"/>
        <v>62865.639154648219</v>
      </c>
      <c r="CI103" s="5">
        <f t="shared" si="100"/>
        <v>62684.969359156719</v>
      </c>
      <c r="CJ103" s="5">
        <f t="shared" si="100"/>
        <v>62502.643423873211</v>
      </c>
      <c r="CK103" s="5">
        <f t="shared" si="100"/>
        <v>62318.646167516272</v>
      </c>
      <c r="CL103" s="5">
        <f t="shared" si="100"/>
        <v>62132.962269642732</v>
      </c>
      <c r="CM103" s="5">
        <f t="shared" si="100"/>
        <v>61945.576269372017</v>
      </c>
      <c r="CN103" s="5">
        <f t="shared" si="100"/>
        <v>61756.472564098818</v>
      </c>
      <c r="CO103" s="5">
        <f t="shared" si="100"/>
        <v>61565.63540819395</v>
      </c>
      <c r="CP103" s="5">
        <f t="shared" si="100"/>
        <v>61373.048911693288</v>
      </c>
      <c r="CQ103" s="5">
        <f t="shared" si="100"/>
        <v>61178.6970389747</v>
      </c>
      <c r="CR103" s="5">
        <f t="shared" si="100"/>
        <v>60982.563607422868</v>
      </c>
      <c r="CS103" s="5">
        <f t="shared" si="100"/>
        <v>60784.632286081804</v>
      </c>
      <c r="CT103" s="5">
        <f t="shared" si="100"/>
        <v>60584.886594295109</v>
      </c>
      <c r="CU103" s="5">
        <f t="shared" si="100"/>
        <v>60383.309900333705</v>
      </c>
      <c r="CV103" s="5">
        <f t="shared" si="100"/>
        <v>60179.885420010993</v>
      </c>
      <c r="CW103" s="5">
        <f t="shared" si="100"/>
        <v>59974.596215285317</v>
      </c>
      <c r="CX103" s="5">
        <f t="shared" si="100"/>
        <v>59767.425192849652</v>
      </c>
      <c r="CY103" s="5">
        <f t="shared" si="100"/>
        <v>59558.35510270833</v>
      </c>
      <c r="CZ103" s="5">
        <f t="shared" si="100"/>
        <v>59347.368536740716</v>
      </c>
      <c r="DA103" s="5">
        <f t="shared" si="100"/>
        <v>59134.447927251735</v>
      </c>
      <c r="DB103" s="5">
        <f t="shared" si="100"/>
        <v>58919.575545509106</v>
      </c>
      <c r="DC103" s="5">
        <f t="shared" si="100"/>
        <v>58702.733500267161</v>
      </c>
      <c r="DD103" s="5">
        <f t="shared" si="100"/>
        <v>58483.903736277163</v>
      </c>
      <c r="DE103" s="5">
        <f t="shared" si="100"/>
        <v>58263.068032783929</v>
      </c>
      <c r="DF103" s="5">
        <f t="shared" si="100"/>
        <v>58040.208002008672</v>
      </c>
      <c r="DG103" s="5">
        <f t="shared" si="100"/>
        <v>57815.305087617984</v>
      </c>
      <c r="DH103" s="5">
        <f t="shared" si="100"/>
        <v>57588.34056317871</v>
      </c>
      <c r="DI103" s="5">
        <f t="shared" si="100"/>
        <v>57359.295530598734</v>
      </c>
      <c r="DJ103" s="5">
        <f t="shared" si="100"/>
        <v>57128.150918553452</v>
      </c>
      <c r="DK103" s="5">
        <f t="shared" si="100"/>
        <v>56894.887480897749</v>
      </c>
      <c r="DL103" s="5">
        <f t="shared" si="100"/>
        <v>56659.485795063534</v>
      </c>
      <c r="DM103" s="5">
        <f t="shared" si="100"/>
        <v>56421.926260442509</v>
      </c>
      <c r="DN103" s="5">
        <f t="shared" si="100"/>
        <v>56182.189096754119</v>
      </c>
      <c r="DO103" s="5">
        <f t="shared" si="100"/>
        <v>55940.254342398592</v>
      </c>
      <c r="DP103" s="5">
        <f t="shared" si="100"/>
        <v>55696.101852794796</v>
      </c>
      <c r="DQ103" s="5">
        <f t="shared" si="100"/>
        <v>55449.711298702976</v>
      </c>
      <c r="DR103" s="5">
        <f t="shared" si="100"/>
        <v>55201.062164531977</v>
      </c>
      <c r="DS103" s="5">
        <f t="shared" si="100"/>
        <v>54950.133746631072</v>
      </c>
      <c r="DT103" s="5">
        <f t="shared" si="100"/>
        <v>54696.905151566083</v>
      </c>
      <c r="DU103" s="5">
        <f t="shared" si="100"/>
        <v>54441.355294379668</v>
      </c>
      <c r="DV103" s="5">
        <f t="shared" si="100"/>
        <v>54183.462896835706</v>
      </c>
      <c r="DW103" s="5">
        <f t="shared" si="100"/>
        <v>53923.206485647592</v>
      </c>
      <c r="DX103" s="5">
        <f t="shared" si="100"/>
        <v>53660.564390690255</v>
      </c>
      <c r="DY103" s="5">
        <f t="shared" si="100"/>
        <v>53395.51474319581</v>
      </c>
      <c r="DZ103" s="5">
        <f t="shared" si="100"/>
        <v>53128.035473932658</v>
      </c>
      <c r="EA103" s="5">
        <f t="shared" si="100"/>
        <v>52858.104311367933</v>
      </c>
      <c r="EB103" s="5">
        <f t="shared" ref="EB103:GM103" si="101">IF(EB95&lt;=$B$26, EA99*($B$25/12), 0)</f>
        <v>52585.698779813036</v>
      </c>
      <c r="EC103" s="5">
        <f t="shared" si="101"/>
        <v>52310.796197552212</v>
      </c>
      <c r="ED103" s="5">
        <f t="shared" si="101"/>
        <v>52033.373674953989</v>
      </c>
      <c r="EE103" s="5">
        <f t="shared" si="101"/>
        <v>51753.408112565296</v>
      </c>
      <c r="EF103" s="5">
        <f t="shared" si="101"/>
        <v>51470.876199188038</v>
      </c>
      <c r="EG103" s="5">
        <f t="shared" si="101"/>
        <v>51185.754409938156</v>
      </c>
      <c r="EH103" s="5">
        <f t="shared" si="101"/>
        <v>50898.019004286813</v>
      </c>
      <c r="EI103" s="5">
        <f t="shared" si="101"/>
        <v>50607.64602408366</v>
      </c>
      <c r="EJ103" s="5">
        <f t="shared" si="101"/>
        <v>50314.611291561989</v>
      </c>
      <c r="EK103" s="5">
        <f t="shared" si="101"/>
        <v>50018.890407325525</v>
      </c>
      <c r="EL103" s="5">
        <f t="shared" si="101"/>
        <v>49720.458748316902</v>
      </c>
      <c r="EM103" s="5">
        <f t="shared" si="101"/>
        <v>49419.291465767368</v>
      </c>
      <c r="EN103" s="5">
        <f t="shared" si="101"/>
        <v>49115.363483127789</v>
      </c>
      <c r="EO103" s="5">
        <f t="shared" si="101"/>
        <v>48808.649493980687</v>
      </c>
      <c r="EP103" s="5">
        <f t="shared" si="101"/>
        <v>48499.123959933066</v>
      </c>
      <c r="EQ103" s="5">
        <f t="shared" si="101"/>
        <v>48186.761108490013</v>
      </c>
      <c r="ER103" s="5">
        <f t="shared" si="101"/>
        <v>47871.534930908732</v>
      </c>
      <c r="ES103" s="5">
        <f t="shared" si="101"/>
        <v>47553.41918003295</v>
      </c>
      <c r="ET103" s="5">
        <f t="shared" si="101"/>
        <v>47232.387368107484</v>
      </c>
      <c r="EU103" s="5">
        <f t="shared" si="101"/>
        <v>46908.412764572699</v>
      </c>
      <c r="EV103" s="5">
        <f t="shared" si="101"/>
        <v>46581.468393838841</v>
      </c>
      <c r="EW103" s="5">
        <f t="shared" si="101"/>
        <v>46251.527033039922</v>
      </c>
      <c r="EX103" s="5">
        <f t="shared" si="101"/>
        <v>45918.561209767009</v>
      </c>
      <c r="EY103" s="5">
        <f t="shared" si="101"/>
        <v>45582.543199780768</v>
      </c>
      <c r="EZ103" s="5">
        <f t="shared" si="101"/>
        <v>45243.445024702982</v>
      </c>
      <c r="FA103" s="5">
        <f t="shared" si="101"/>
        <v>44901.238449686985</v>
      </c>
      <c r="FB103" s="5">
        <f t="shared" si="101"/>
        <v>44555.894981066675</v>
      </c>
      <c r="FC103" s="5">
        <f t="shared" si="101"/>
        <v>44207.385863984004</v>
      </c>
      <c r="FD103" s="5">
        <f t="shared" si="101"/>
        <v>43855.682079994745</v>
      </c>
      <c r="FE103" s="5">
        <f t="shared" si="101"/>
        <v>43500.754344652261</v>
      </c>
      <c r="FF103" s="5">
        <f t="shared" si="101"/>
        <v>43142.573105069125</v>
      </c>
      <c r="FG103" s="5">
        <f t="shared" si="101"/>
        <v>42781.108537456486</v>
      </c>
      <c r="FH103" s="5">
        <f t="shared" si="101"/>
        <v>42416.330544640732</v>
      </c>
      <c r="FI103" s="5">
        <f t="shared" si="101"/>
        <v>42048.208753557497</v>
      </c>
      <c r="FJ103" s="5">
        <f t="shared" si="101"/>
        <v>41676.712512722668</v>
      </c>
      <c r="FK103" s="5">
        <f t="shared" si="101"/>
        <v>41301.810889680186</v>
      </c>
      <c r="FL103" s="5">
        <f t="shared" si="101"/>
        <v>40923.472668426482</v>
      </c>
      <c r="FM103" s="5">
        <f t="shared" si="101"/>
        <v>40541.666346811282</v>
      </c>
      <c r="FN103" s="5">
        <f t="shared" si="101"/>
        <v>40156.360133914612</v>
      </c>
      <c r="FO103" s="5">
        <f t="shared" si="101"/>
        <v>39767.52194739972</v>
      </c>
      <c r="FP103" s="5">
        <f t="shared" si="101"/>
        <v>39375.119410841777</v>
      </c>
      <c r="FQ103" s="5">
        <f t="shared" si="101"/>
        <v>38979.119851032046</v>
      </c>
      <c r="FR103" s="5">
        <f t="shared" si="101"/>
        <v>38579.490295257398</v>
      </c>
      <c r="FS103" s="5">
        <f t="shared" si="101"/>
        <v>38176.197468554812</v>
      </c>
      <c r="FT103" s="5">
        <f t="shared" si="101"/>
        <v>37769.207790940789</v>
      </c>
      <c r="FU103" s="5">
        <f t="shared" si="101"/>
        <v>37358.487374615303</v>
      </c>
      <c r="FV103" s="5">
        <f t="shared" si="101"/>
        <v>36944.002021140172</v>
      </c>
      <c r="FW103" s="5">
        <f t="shared" si="101"/>
        <v>36525.717218591511</v>
      </c>
      <c r="FX103" s="5">
        <f t="shared" si="101"/>
        <v>36103.59813868616</v>
      </c>
      <c r="FY103" s="5">
        <f t="shared" si="101"/>
        <v>35677.609633881679</v>
      </c>
      <c r="FZ103" s="5">
        <f t="shared" si="101"/>
        <v>35247.716234449821</v>
      </c>
      <c r="GA103" s="5">
        <f t="shared" si="101"/>
        <v>34813.882145523166</v>
      </c>
      <c r="GB103" s="5">
        <f t="shared" si="101"/>
        <v>34376.07124411469</v>
      </c>
      <c r="GC103" s="5">
        <f t="shared" si="101"/>
        <v>33934.247076109961</v>
      </c>
      <c r="GD103" s="5">
        <f t="shared" si="101"/>
        <v>33488.372853231864</v>
      </c>
      <c r="GE103" s="5">
        <f t="shared" si="101"/>
        <v>33038.411449977379</v>
      </c>
      <c r="GF103" s="5">
        <f t="shared" si="101"/>
        <v>32584.325400526395</v>
      </c>
      <c r="GG103" s="5">
        <f t="shared" si="101"/>
        <v>32126.076895622111</v>
      </c>
      <c r="GH103" s="5">
        <f t="shared" si="101"/>
        <v>31663.627779422874</v>
      </c>
      <c r="GI103" s="5">
        <f t="shared" si="101"/>
        <v>31196.939546325142</v>
      </c>
      <c r="GJ103" s="5">
        <f t="shared" si="101"/>
        <v>30725.97333775735</v>
      </c>
      <c r="GK103" s="5">
        <f t="shared" si="101"/>
        <v>30250.68993894435</v>
      </c>
      <c r="GL103" s="5">
        <f t="shared" si="101"/>
        <v>29771.049775642234</v>
      </c>
      <c r="GM103" s="5">
        <f t="shared" si="101"/>
        <v>29287.012910843179</v>
      </c>
      <c r="GN103" s="5">
        <f t="shared" ref="GN103:IY103" si="102">IF(GN95&lt;=$B$26, GM99*($B$25/12), 0)</f>
        <v>28798.539041450131</v>
      </c>
      <c r="GO103" s="5">
        <f t="shared" si="102"/>
        <v>28305.587494920987</v>
      </c>
      <c r="GP103" s="5">
        <f t="shared" si="102"/>
        <v>27808.117225881986</v>
      </c>
      <c r="GQ103" s="5">
        <f t="shared" si="102"/>
        <v>27306.086812710131</v>
      </c>
      <c r="GR103" s="5">
        <f t="shared" si="102"/>
        <v>26799.4544540842</v>
      </c>
      <c r="GS103" s="5">
        <f t="shared" si="102"/>
        <v>26288.177965504194</v>
      </c>
      <c r="GT103" s="5">
        <f t="shared" si="102"/>
        <v>25772.214775778873</v>
      </c>
      <c r="GU103" s="5">
        <f t="shared" si="102"/>
        <v>25251.521923481072</v>
      </c>
      <c r="GV103" s="5">
        <f t="shared" si="102"/>
        <v>24726.056053370539</v>
      </c>
      <c r="GW103" s="5">
        <f t="shared" si="102"/>
        <v>24195.773412783994</v>
      </c>
      <c r="GX103" s="5">
        <f t="shared" si="102"/>
        <v>23660.629847992073</v>
      </c>
      <c r="GY103" s="5">
        <f t="shared" si="102"/>
        <v>23120.580800522894</v>
      </c>
      <c r="GZ103" s="5">
        <f t="shared" si="102"/>
        <v>22575.581303451912</v>
      </c>
      <c r="HA103" s="5">
        <f t="shared" si="102"/>
        <v>22025.585977657778</v>
      </c>
      <c r="HB103" s="5">
        <f t="shared" si="102"/>
        <v>21470.549028043864</v>
      </c>
      <c r="HC103" s="5">
        <f t="shared" si="102"/>
        <v>20910.424239725158</v>
      </c>
      <c r="HD103" s="5">
        <f t="shared" si="102"/>
        <v>20345.164974180196</v>
      </c>
      <c r="HE103" s="5">
        <f t="shared" si="102"/>
        <v>19774.724165367737</v>
      </c>
      <c r="HF103" s="5">
        <f t="shared" si="102"/>
        <v>19199.054315807833</v>
      </c>
      <c r="HG103" s="5">
        <f t="shared" si="102"/>
        <v>18618.107492626965</v>
      </c>
      <c r="HH103" s="5">
        <f t="shared" si="102"/>
        <v>18031.835323566938</v>
      </c>
      <c r="HI103" s="5">
        <f t="shared" si="102"/>
        <v>17440.188992957192</v>
      </c>
      <c r="HJ103" s="5">
        <f t="shared" si="102"/>
        <v>16843.119237650189</v>
      </c>
      <c r="HK103" s="5">
        <f t="shared" si="102"/>
        <v>16240.576342919543</v>
      </c>
      <c r="HL103" s="5">
        <f t="shared" si="102"/>
        <v>15632.510138320529</v>
      </c>
      <c r="HM103" s="5">
        <f t="shared" si="102"/>
        <v>15018.869993512693</v>
      </c>
      <c r="HN103" s="5">
        <f t="shared" si="102"/>
        <v>14399.604814044118</v>
      </c>
      <c r="HO103" s="5">
        <f t="shared" si="102"/>
        <v>13774.66303709708</v>
      </c>
      <c r="HP103" s="5">
        <f t="shared" si="102"/>
        <v>13143.992627194695</v>
      </c>
      <c r="HQ103" s="5">
        <f t="shared" si="102"/>
        <v>12507.541071868205</v>
      </c>
      <c r="HR103" s="5">
        <f t="shared" si="102"/>
        <v>11865.255377284555</v>
      </c>
      <c r="HS103" s="5">
        <f t="shared" si="102"/>
        <v>11217.082063833888</v>
      </c>
      <c r="HT103" s="5">
        <f t="shared" si="102"/>
        <v>10562.96716167659</v>
      </c>
      <c r="HU103" s="5">
        <f t="shared" si="102"/>
        <v>9902.8562062495166</v>
      </c>
      <c r="HV103" s="5">
        <f t="shared" si="102"/>
        <v>9236.6942337310284</v>
      </c>
      <c r="HW103" s="5">
        <f t="shared" si="102"/>
        <v>8564.4257764644535</v>
      </c>
      <c r="HX103" s="5">
        <f t="shared" si="102"/>
        <v>7885.9948583396035</v>
      </c>
      <c r="HY103" s="5">
        <f t="shared" si="102"/>
        <v>7201.3449901319418</v>
      </c>
      <c r="HZ103" s="5">
        <f t="shared" si="102"/>
        <v>6510.4191647990428</v>
      </c>
      <c r="IA103" s="5">
        <f t="shared" si="102"/>
        <v>5813.1598527339247</v>
      </c>
      <c r="IB103" s="5">
        <f t="shared" si="102"/>
        <v>5109.5089969748778</v>
      </c>
      <c r="IC103" s="5">
        <f t="shared" si="102"/>
        <v>4399.4080083713725</v>
      </c>
      <c r="ID103" s="5">
        <f t="shared" si="102"/>
        <v>3682.7977607056687</v>
      </c>
      <c r="IE103" s="5">
        <f t="shared" si="102"/>
        <v>2959.6185857696955</v>
      </c>
      <c r="IF103" s="5">
        <f t="shared" si="102"/>
        <v>2229.8102683968095</v>
      </c>
      <c r="IG103" s="5">
        <f t="shared" si="102"/>
        <v>1493.3120414480052</v>
      </c>
      <c r="IH103" s="5">
        <f t="shared" si="102"/>
        <v>750.06258075217022</v>
      </c>
      <c r="II103" s="5">
        <f t="shared" si="102"/>
        <v>0</v>
      </c>
      <c r="IJ103" s="5">
        <f t="shared" si="102"/>
        <v>0</v>
      </c>
      <c r="IK103" s="5">
        <f t="shared" si="102"/>
        <v>0</v>
      </c>
      <c r="IL103" s="5">
        <f t="shared" si="102"/>
        <v>0</v>
      </c>
      <c r="IM103" s="5">
        <f t="shared" si="102"/>
        <v>0</v>
      </c>
      <c r="IN103" s="5">
        <f t="shared" si="102"/>
        <v>0</v>
      </c>
      <c r="IO103" s="5">
        <f t="shared" si="102"/>
        <v>0</v>
      </c>
      <c r="IP103" s="5">
        <f t="shared" si="102"/>
        <v>0</v>
      </c>
      <c r="IQ103" s="5">
        <f t="shared" si="102"/>
        <v>0</v>
      </c>
      <c r="IR103" s="5">
        <f t="shared" si="102"/>
        <v>0</v>
      </c>
      <c r="IS103" s="5">
        <f t="shared" si="102"/>
        <v>0</v>
      </c>
      <c r="IT103" s="5">
        <f t="shared" si="102"/>
        <v>0</v>
      </c>
      <c r="IU103" s="5">
        <f t="shared" si="102"/>
        <v>0</v>
      </c>
      <c r="IV103" s="5">
        <f t="shared" si="102"/>
        <v>0</v>
      </c>
      <c r="IW103" s="5">
        <f t="shared" si="102"/>
        <v>0</v>
      </c>
      <c r="IX103" s="5">
        <f t="shared" si="102"/>
        <v>0</v>
      </c>
      <c r="IY103" s="5">
        <f t="shared" si="102"/>
        <v>0</v>
      </c>
      <c r="IZ103" s="5">
        <f t="shared" ref="IZ103:LK103" si="103">IF(IZ95&lt;=$B$26, IY99*($B$25/12), 0)</f>
        <v>0</v>
      </c>
      <c r="JA103" s="5">
        <f t="shared" si="103"/>
        <v>0</v>
      </c>
      <c r="JB103" s="5">
        <f t="shared" si="103"/>
        <v>0</v>
      </c>
      <c r="JC103" s="5">
        <f t="shared" si="103"/>
        <v>0</v>
      </c>
      <c r="JD103" s="5">
        <f t="shared" si="103"/>
        <v>0</v>
      </c>
      <c r="JE103" s="5">
        <f t="shared" si="103"/>
        <v>0</v>
      </c>
      <c r="JF103" s="5">
        <f t="shared" si="103"/>
        <v>0</v>
      </c>
      <c r="JG103" s="5">
        <f t="shared" si="103"/>
        <v>0</v>
      </c>
      <c r="JH103" s="5">
        <f t="shared" si="103"/>
        <v>0</v>
      </c>
      <c r="JI103" s="5">
        <f t="shared" si="103"/>
        <v>0</v>
      </c>
      <c r="JJ103" s="5">
        <f t="shared" si="103"/>
        <v>0</v>
      </c>
      <c r="JK103" s="5">
        <f t="shared" si="103"/>
        <v>0</v>
      </c>
      <c r="JL103" s="5">
        <f t="shared" si="103"/>
        <v>0</v>
      </c>
      <c r="JM103" s="5">
        <f t="shared" si="103"/>
        <v>0</v>
      </c>
      <c r="JN103" s="5">
        <f t="shared" si="103"/>
        <v>0</v>
      </c>
      <c r="JO103" s="5">
        <f t="shared" si="103"/>
        <v>0</v>
      </c>
      <c r="JP103" s="5">
        <f t="shared" si="103"/>
        <v>0</v>
      </c>
      <c r="JQ103" s="5">
        <f t="shared" si="103"/>
        <v>0</v>
      </c>
      <c r="JR103" s="5">
        <f t="shared" si="103"/>
        <v>0</v>
      </c>
      <c r="JS103" s="5">
        <f t="shared" si="103"/>
        <v>0</v>
      </c>
      <c r="JT103" s="5">
        <f t="shared" si="103"/>
        <v>0</v>
      </c>
      <c r="JU103" s="5">
        <f t="shared" si="103"/>
        <v>0</v>
      </c>
      <c r="JV103" s="5">
        <f t="shared" si="103"/>
        <v>0</v>
      </c>
      <c r="JW103" s="5">
        <f t="shared" si="103"/>
        <v>0</v>
      </c>
      <c r="JX103" s="5">
        <f t="shared" si="103"/>
        <v>0</v>
      </c>
      <c r="JY103" s="5">
        <f t="shared" si="103"/>
        <v>0</v>
      </c>
      <c r="JZ103" s="5">
        <f t="shared" si="103"/>
        <v>0</v>
      </c>
      <c r="KA103" s="5">
        <f t="shared" si="103"/>
        <v>0</v>
      </c>
      <c r="KB103" s="5">
        <f t="shared" si="103"/>
        <v>0</v>
      </c>
      <c r="KC103" s="5">
        <f t="shared" si="103"/>
        <v>0</v>
      </c>
      <c r="KD103" s="5">
        <f t="shared" si="103"/>
        <v>0</v>
      </c>
      <c r="KE103" s="5">
        <f t="shared" si="103"/>
        <v>0</v>
      </c>
      <c r="KF103" s="5">
        <f t="shared" si="103"/>
        <v>0</v>
      </c>
      <c r="KG103" s="5">
        <f t="shared" si="103"/>
        <v>0</v>
      </c>
      <c r="KH103" s="5">
        <f t="shared" si="103"/>
        <v>0</v>
      </c>
      <c r="KI103" s="5">
        <f t="shared" si="103"/>
        <v>0</v>
      </c>
      <c r="KJ103" s="5">
        <f t="shared" si="103"/>
        <v>0</v>
      </c>
      <c r="KK103" s="5">
        <f t="shared" si="103"/>
        <v>0</v>
      </c>
      <c r="KL103" s="5">
        <f t="shared" si="103"/>
        <v>0</v>
      </c>
      <c r="KM103" s="5">
        <f t="shared" si="103"/>
        <v>0</v>
      </c>
      <c r="KN103" s="5">
        <f t="shared" si="103"/>
        <v>0</v>
      </c>
      <c r="KO103" s="5">
        <f t="shared" si="103"/>
        <v>0</v>
      </c>
      <c r="KP103" s="5">
        <f t="shared" si="103"/>
        <v>0</v>
      </c>
      <c r="KQ103" s="5">
        <f t="shared" si="103"/>
        <v>0</v>
      </c>
      <c r="KR103" s="5">
        <f t="shared" si="103"/>
        <v>0</v>
      </c>
      <c r="KS103" s="5">
        <f t="shared" si="103"/>
        <v>0</v>
      </c>
      <c r="KT103" s="5">
        <f t="shared" si="103"/>
        <v>0</v>
      </c>
      <c r="KU103" s="5">
        <f t="shared" si="103"/>
        <v>0</v>
      </c>
      <c r="KV103" s="5">
        <f t="shared" si="103"/>
        <v>0</v>
      </c>
      <c r="KW103" s="5">
        <f t="shared" si="103"/>
        <v>0</v>
      </c>
      <c r="KX103" s="5">
        <f t="shared" si="103"/>
        <v>0</v>
      </c>
      <c r="KY103" s="5">
        <f t="shared" si="103"/>
        <v>0</v>
      </c>
      <c r="KZ103" s="5">
        <f t="shared" si="103"/>
        <v>0</v>
      </c>
      <c r="LA103" s="5">
        <f t="shared" si="103"/>
        <v>0</v>
      </c>
      <c r="LB103" s="5">
        <f t="shared" si="103"/>
        <v>0</v>
      </c>
      <c r="LC103" s="5">
        <f t="shared" si="103"/>
        <v>0</v>
      </c>
      <c r="LD103" s="5">
        <f t="shared" si="103"/>
        <v>0</v>
      </c>
      <c r="LE103" s="5">
        <f t="shared" si="103"/>
        <v>0</v>
      </c>
      <c r="LF103" s="5">
        <f t="shared" si="103"/>
        <v>0</v>
      </c>
      <c r="LG103" s="5">
        <f t="shared" si="103"/>
        <v>0</v>
      </c>
      <c r="LH103" s="5">
        <f t="shared" si="103"/>
        <v>0</v>
      </c>
      <c r="LI103" s="5">
        <f t="shared" si="103"/>
        <v>0</v>
      </c>
      <c r="LJ103" s="5">
        <f t="shared" si="103"/>
        <v>0</v>
      </c>
      <c r="LK103" s="5">
        <f t="shared" si="103"/>
        <v>0</v>
      </c>
      <c r="LL103" s="5">
        <f t="shared" ref="LL103:NW103" si="104">IF(LL95&lt;=$B$26, LK99*($B$25/12), 0)</f>
        <v>0</v>
      </c>
      <c r="LM103" s="5">
        <f t="shared" si="104"/>
        <v>0</v>
      </c>
      <c r="LN103" s="5">
        <f t="shared" si="104"/>
        <v>0</v>
      </c>
      <c r="LO103" s="5">
        <f t="shared" si="104"/>
        <v>0</v>
      </c>
      <c r="LP103" s="5">
        <f t="shared" si="104"/>
        <v>0</v>
      </c>
      <c r="LQ103" s="5">
        <f t="shared" si="104"/>
        <v>0</v>
      </c>
      <c r="LR103" s="5">
        <f t="shared" si="104"/>
        <v>0</v>
      </c>
      <c r="LS103" s="5">
        <f t="shared" si="104"/>
        <v>0</v>
      </c>
      <c r="LT103" s="5">
        <f t="shared" si="104"/>
        <v>0</v>
      </c>
      <c r="LU103" s="5">
        <f t="shared" si="104"/>
        <v>0</v>
      </c>
      <c r="LV103" s="5">
        <f t="shared" si="104"/>
        <v>0</v>
      </c>
      <c r="LW103" s="5">
        <f t="shared" si="104"/>
        <v>0</v>
      </c>
      <c r="LX103" s="5">
        <f t="shared" si="104"/>
        <v>0</v>
      </c>
      <c r="LY103" s="5">
        <f t="shared" si="104"/>
        <v>0</v>
      </c>
      <c r="LZ103" s="5">
        <f t="shared" si="104"/>
        <v>0</v>
      </c>
      <c r="MA103" s="5">
        <f t="shared" si="104"/>
        <v>0</v>
      </c>
      <c r="MB103" s="5">
        <f t="shared" si="104"/>
        <v>0</v>
      </c>
      <c r="MC103" s="5">
        <f t="shared" si="104"/>
        <v>0</v>
      </c>
      <c r="MD103" s="5">
        <f t="shared" si="104"/>
        <v>0</v>
      </c>
      <c r="ME103" s="5">
        <f t="shared" si="104"/>
        <v>0</v>
      </c>
      <c r="MF103" s="5">
        <f t="shared" si="104"/>
        <v>0</v>
      </c>
      <c r="MG103" s="5">
        <f t="shared" si="104"/>
        <v>0</v>
      </c>
      <c r="MH103" s="5">
        <f t="shared" si="104"/>
        <v>0</v>
      </c>
      <c r="MI103" s="5">
        <f t="shared" si="104"/>
        <v>0</v>
      </c>
      <c r="MJ103" s="5">
        <f t="shared" si="104"/>
        <v>0</v>
      </c>
      <c r="MK103" s="5">
        <f t="shared" si="104"/>
        <v>0</v>
      </c>
      <c r="ML103" s="5">
        <f t="shared" si="104"/>
        <v>0</v>
      </c>
      <c r="MM103" s="5">
        <f t="shared" si="104"/>
        <v>0</v>
      </c>
      <c r="MN103" s="5">
        <f t="shared" si="104"/>
        <v>0</v>
      </c>
      <c r="MO103" s="5">
        <f t="shared" si="104"/>
        <v>0</v>
      </c>
      <c r="MP103" s="5">
        <f t="shared" si="104"/>
        <v>0</v>
      </c>
      <c r="MQ103" s="5">
        <f t="shared" si="104"/>
        <v>0</v>
      </c>
      <c r="MR103" s="5">
        <f t="shared" si="104"/>
        <v>0</v>
      </c>
      <c r="MS103" s="5">
        <f t="shared" si="104"/>
        <v>0</v>
      </c>
      <c r="MT103" s="5">
        <f t="shared" si="104"/>
        <v>0</v>
      </c>
      <c r="MU103" s="5">
        <f t="shared" si="104"/>
        <v>0</v>
      </c>
      <c r="MV103" s="5">
        <f t="shared" si="104"/>
        <v>0</v>
      </c>
      <c r="MW103" s="5">
        <f t="shared" si="104"/>
        <v>0</v>
      </c>
      <c r="MX103" s="5">
        <f t="shared" si="104"/>
        <v>0</v>
      </c>
      <c r="MY103" s="5">
        <f t="shared" si="104"/>
        <v>0</v>
      </c>
      <c r="MZ103" s="5">
        <f t="shared" si="104"/>
        <v>0</v>
      </c>
      <c r="NA103" s="5">
        <f t="shared" si="104"/>
        <v>0</v>
      </c>
      <c r="NB103" s="5">
        <f t="shared" si="104"/>
        <v>0</v>
      </c>
      <c r="NC103" s="5">
        <f t="shared" si="104"/>
        <v>0</v>
      </c>
      <c r="ND103" s="5">
        <f t="shared" si="104"/>
        <v>0</v>
      </c>
      <c r="NE103" s="5">
        <f t="shared" si="104"/>
        <v>0</v>
      </c>
      <c r="NF103" s="5">
        <f t="shared" si="104"/>
        <v>0</v>
      </c>
      <c r="NG103" s="5">
        <f t="shared" si="104"/>
        <v>0</v>
      </c>
      <c r="NH103" s="5">
        <f t="shared" si="104"/>
        <v>0</v>
      </c>
      <c r="NI103" s="5">
        <f t="shared" si="104"/>
        <v>0</v>
      </c>
      <c r="NJ103" s="5">
        <f t="shared" si="104"/>
        <v>0</v>
      </c>
      <c r="NK103" s="5">
        <f t="shared" si="104"/>
        <v>0</v>
      </c>
      <c r="NL103" s="5">
        <f t="shared" si="104"/>
        <v>0</v>
      </c>
      <c r="NM103" s="5">
        <f t="shared" si="104"/>
        <v>0</v>
      </c>
      <c r="NN103" s="5">
        <f t="shared" si="104"/>
        <v>0</v>
      </c>
      <c r="NO103" s="5">
        <f t="shared" si="104"/>
        <v>0</v>
      </c>
      <c r="NP103" s="5">
        <f t="shared" si="104"/>
        <v>0</v>
      </c>
      <c r="NQ103" s="5">
        <f t="shared" si="104"/>
        <v>0</v>
      </c>
      <c r="NR103" s="5">
        <f t="shared" si="104"/>
        <v>0</v>
      </c>
      <c r="NS103" s="5">
        <f t="shared" si="104"/>
        <v>0</v>
      </c>
      <c r="NT103" s="5">
        <f t="shared" si="104"/>
        <v>0</v>
      </c>
      <c r="NU103" s="5">
        <f t="shared" si="104"/>
        <v>0</v>
      </c>
      <c r="NV103" s="5">
        <f t="shared" si="104"/>
        <v>0</v>
      </c>
      <c r="NW103" s="5">
        <f t="shared" si="104"/>
        <v>0</v>
      </c>
      <c r="NX103" s="5">
        <f t="shared" ref="NX103:PF103" si="105">IF(NX95&lt;=$B$26, NW99*($B$25/12), 0)</f>
        <v>0</v>
      </c>
      <c r="NY103" s="5">
        <f t="shared" si="105"/>
        <v>0</v>
      </c>
      <c r="NZ103" s="5">
        <f t="shared" si="105"/>
        <v>0</v>
      </c>
      <c r="OA103" s="5">
        <f t="shared" si="105"/>
        <v>0</v>
      </c>
      <c r="OB103" s="5">
        <f t="shared" si="105"/>
        <v>0</v>
      </c>
      <c r="OC103" s="5">
        <f t="shared" si="105"/>
        <v>0</v>
      </c>
      <c r="OD103" s="5">
        <f t="shared" si="105"/>
        <v>0</v>
      </c>
      <c r="OE103" s="5">
        <f t="shared" si="105"/>
        <v>0</v>
      </c>
      <c r="OF103" s="5">
        <f t="shared" si="105"/>
        <v>0</v>
      </c>
      <c r="OG103" s="5">
        <f t="shared" si="105"/>
        <v>0</v>
      </c>
      <c r="OH103" s="5">
        <f t="shared" si="105"/>
        <v>0</v>
      </c>
      <c r="OI103" s="5">
        <f t="shared" si="105"/>
        <v>0</v>
      </c>
      <c r="OJ103" s="5">
        <f t="shared" si="105"/>
        <v>0</v>
      </c>
      <c r="OK103" s="5">
        <f t="shared" si="105"/>
        <v>0</v>
      </c>
      <c r="OL103" s="5">
        <f t="shared" si="105"/>
        <v>0</v>
      </c>
      <c r="OM103" s="5">
        <f t="shared" si="105"/>
        <v>0</v>
      </c>
      <c r="ON103" s="5">
        <f t="shared" si="105"/>
        <v>0</v>
      </c>
      <c r="OO103" s="5">
        <f t="shared" si="105"/>
        <v>0</v>
      </c>
      <c r="OP103" s="5">
        <f t="shared" si="105"/>
        <v>0</v>
      </c>
      <c r="OQ103" s="5">
        <f t="shared" si="105"/>
        <v>0</v>
      </c>
      <c r="OR103" s="5">
        <f t="shared" si="105"/>
        <v>0</v>
      </c>
      <c r="OS103" s="5">
        <f t="shared" si="105"/>
        <v>0</v>
      </c>
      <c r="OT103" s="5">
        <f t="shared" si="105"/>
        <v>0</v>
      </c>
      <c r="OU103" s="5">
        <f t="shared" si="105"/>
        <v>0</v>
      </c>
      <c r="OV103" s="5">
        <f t="shared" si="105"/>
        <v>0</v>
      </c>
      <c r="OW103" s="5">
        <f t="shared" si="105"/>
        <v>0</v>
      </c>
      <c r="OX103" s="5">
        <f t="shared" si="105"/>
        <v>0</v>
      </c>
      <c r="OY103" s="5">
        <f t="shared" si="105"/>
        <v>0</v>
      </c>
      <c r="OZ103" s="5">
        <f t="shared" si="105"/>
        <v>0</v>
      </c>
      <c r="PA103" s="5">
        <f t="shared" si="105"/>
        <v>0</v>
      </c>
      <c r="PB103" s="5">
        <f t="shared" si="105"/>
        <v>0</v>
      </c>
      <c r="PC103" s="5">
        <f t="shared" si="105"/>
        <v>0</v>
      </c>
      <c r="PD103" s="5">
        <f t="shared" si="105"/>
        <v>0</v>
      </c>
      <c r="PE103" s="5">
        <f t="shared" si="105"/>
        <v>0</v>
      </c>
      <c r="PF103" s="5">
        <f t="shared" si="105"/>
        <v>0</v>
      </c>
    </row>
    <row r="104" spans="1:422" hidden="1">
      <c r="A104" s="6" t="s">
        <v>39</v>
      </c>
      <c r="C104" s="18">
        <f>C102-C103</f>
        <v>9241.7380567512155</v>
      </c>
      <c r="D104" s="5">
        <f t="shared" ref="D104:BO104" si="106">D102-D103</f>
        <v>9326.4539889380976</v>
      </c>
      <c r="E104" s="5">
        <f t="shared" si="106"/>
        <v>9411.9464838366839</v>
      </c>
      <c r="F104" s="5">
        <f t="shared" si="106"/>
        <v>9498.2226599385176</v>
      </c>
      <c r="G104" s="5">
        <f t="shared" si="106"/>
        <v>9585.2897009879671</v>
      </c>
      <c r="H104" s="5">
        <f t="shared" si="106"/>
        <v>9673.1548565803532</v>
      </c>
      <c r="I104" s="5">
        <f t="shared" si="106"/>
        <v>9761.8254427656648</v>
      </c>
      <c r="J104" s="5">
        <f t="shared" si="106"/>
        <v>9851.3088426576869</v>
      </c>
      <c r="K104" s="5">
        <f t="shared" si="106"/>
        <v>9941.6125070487178</v>
      </c>
      <c r="L104" s="5">
        <f t="shared" si="106"/>
        <v>10032.743955030004</v>
      </c>
      <c r="M104" s="5">
        <f t="shared" si="106"/>
        <v>10124.710774617779</v>
      </c>
      <c r="N104" s="5">
        <f t="shared" si="106"/>
        <v>10217.52062338512</v>
      </c>
      <c r="O104" s="5">
        <f t="shared" si="106"/>
        <v>10311.181229099471</v>
      </c>
      <c r="P104" s="5">
        <f t="shared" si="106"/>
        <v>10405.700390366226</v>
      </c>
      <c r="Q104" s="5">
        <f t="shared" si="106"/>
        <v>10501.085977277908</v>
      </c>
      <c r="R104" s="5">
        <f t="shared" si="106"/>
        <v>10597.345932069627</v>
      </c>
      <c r="S104" s="5">
        <f t="shared" si="106"/>
        <v>10694.488269780253</v>
      </c>
      <c r="T104" s="5">
        <f t="shared" si="106"/>
        <v>10792.521078919905</v>
      </c>
      <c r="U104" s="5">
        <f t="shared" si="106"/>
        <v>10891.452522143343</v>
      </c>
      <c r="V104" s="5">
        <f t="shared" si="106"/>
        <v>10991.290836929664</v>
      </c>
      <c r="W104" s="5">
        <f t="shared" si="106"/>
        <v>11092.044336268184</v>
      </c>
      <c r="X104" s="5">
        <f t="shared" si="106"/>
        <v>11193.721409350634</v>
      </c>
      <c r="Y104" s="5">
        <f t="shared" si="106"/>
        <v>11296.33052226968</v>
      </c>
      <c r="Z104" s="5">
        <f t="shared" si="106"/>
        <v>11399.880218723818</v>
      </c>
      <c r="AA104" s="5">
        <f t="shared" si="106"/>
        <v>11504.379120728787</v>
      </c>
      <c r="AB104" s="5">
        <f t="shared" si="106"/>
        <v>11609.835929335473</v>
      </c>
      <c r="AC104" s="5">
        <f t="shared" si="106"/>
        <v>11716.259425354379</v>
      </c>
      <c r="AD104" s="5">
        <f t="shared" si="106"/>
        <v>11823.658470086782</v>
      </c>
      <c r="AE104" s="5">
        <f t="shared" si="106"/>
        <v>11932.042006062591</v>
      </c>
      <c r="AF104" s="5">
        <f t="shared" si="106"/>
        <v>12041.41905778482</v>
      </c>
      <c r="AG104" s="5">
        <f t="shared" si="106"/>
        <v>12151.798732481184</v>
      </c>
      <c r="AH104" s="5">
        <f t="shared" si="106"/>
        <v>12263.190220862263</v>
      </c>
      <c r="AI104" s="5">
        <f t="shared" si="106"/>
        <v>12375.602797886837</v>
      </c>
      <c r="AJ104" s="5">
        <f t="shared" si="106"/>
        <v>12489.045823534136</v>
      </c>
      <c r="AK104" s="5">
        <f t="shared" si="106"/>
        <v>12603.5287435832</v>
      </c>
      <c r="AL104" s="5">
        <f t="shared" si="106"/>
        <v>12719.061090399366</v>
      </c>
      <c r="AM104" s="5">
        <f t="shared" si="106"/>
        <v>12835.65248372803</v>
      </c>
      <c r="AN104" s="5">
        <f t="shared" si="106"/>
        <v>12953.31263149553</v>
      </c>
      <c r="AO104" s="5">
        <f t="shared" si="106"/>
        <v>13072.051330617571</v>
      </c>
      <c r="AP104" s="5">
        <f t="shared" si="106"/>
        <v>13191.87846781491</v>
      </c>
      <c r="AQ104" s="5">
        <f t="shared" si="106"/>
        <v>13312.804020436539</v>
      </c>
      <c r="AR104" s="5">
        <f t="shared" si="106"/>
        <v>13434.838057290544</v>
      </c>
      <c r="AS104" s="5">
        <f t="shared" si="106"/>
        <v>13557.990739482368</v>
      </c>
      <c r="AT104" s="5">
        <f t="shared" si="106"/>
        <v>13682.272321260956</v>
      </c>
      <c r="AU104" s="5">
        <f t="shared" si="106"/>
        <v>13807.693150872525</v>
      </c>
      <c r="AV104" s="5">
        <f t="shared" si="106"/>
        <v>13934.263671422188</v>
      </c>
      <c r="AW104" s="5">
        <f t="shared" si="106"/>
        <v>14061.994421743555</v>
      </c>
      <c r="AX104" s="5">
        <f t="shared" si="106"/>
        <v>14190.896037276209</v>
      </c>
      <c r="AY104" s="5">
        <f t="shared" si="106"/>
        <v>14320.979250951234</v>
      </c>
      <c r="AZ104" s="5">
        <f t="shared" si="106"/>
        <v>14452.254894084952</v>
      </c>
      <c r="BA104" s="5">
        <f t="shared" si="106"/>
        <v>14584.733897280734</v>
      </c>
      <c r="BB104" s="5">
        <f t="shared" si="106"/>
        <v>14718.427291339147</v>
      </c>
      <c r="BC104" s="5">
        <f t="shared" si="106"/>
        <v>14853.34620817643</v>
      </c>
      <c r="BD104" s="5">
        <f t="shared" si="106"/>
        <v>14989.501881751377</v>
      </c>
      <c r="BE104" s="5">
        <f t="shared" si="106"/>
        <v>15126.905649000764</v>
      </c>
      <c r="BF104" s="5">
        <f t="shared" si="106"/>
        <v>15265.568950783272</v>
      </c>
      <c r="BG104" s="5">
        <f t="shared" si="106"/>
        <v>15405.503332832115</v>
      </c>
      <c r="BH104" s="5">
        <f t="shared" si="106"/>
        <v>15546.720446716412</v>
      </c>
      <c r="BI104" s="5">
        <f t="shared" si="106"/>
        <v>15689.232050811304</v>
      </c>
      <c r="BJ104" s="5">
        <f t="shared" si="106"/>
        <v>15833.050011277068</v>
      </c>
      <c r="BK104" s="5">
        <f t="shared" si="106"/>
        <v>15978.186303047114</v>
      </c>
      <c r="BL104" s="5">
        <f t="shared" si="106"/>
        <v>16124.653010825044</v>
      </c>
      <c r="BM104" s="5">
        <f t="shared" si="106"/>
        <v>16272.462330090944</v>
      </c>
      <c r="BN104" s="5">
        <f t="shared" si="106"/>
        <v>16421.626568116772</v>
      </c>
      <c r="BO104" s="5">
        <f t="shared" si="106"/>
        <v>16572.15814499119</v>
      </c>
      <c r="BP104" s="5">
        <f t="shared" ref="BP104:EA104" si="107">BP102-BP103</f>
        <v>16724.0695946536</v>
      </c>
      <c r="BQ104" s="5">
        <f t="shared" si="107"/>
        <v>16877.373565937916</v>
      </c>
      <c r="BR104" s="5">
        <f t="shared" si="107"/>
        <v>17032.082823625693</v>
      </c>
      <c r="BS104" s="5">
        <f t="shared" si="107"/>
        <v>17188.210249508928</v>
      </c>
      <c r="BT104" s="5">
        <f t="shared" si="107"/>
        <v>17345.768843462756</v>
      </c>
      <c r="BU104" s="5">
        <f t="shared" si="107"/>
        <v>17504.771724527833</v>
      </c>
      <c r="BV104" s="5">
        <f t="shared" si="107"/>
        <v>17665.232132002668</v>
      </c>
      <c r="BW104" s="5">
        <f t="shared" si="107"/>
        <v>17827.163426546023</v>
      </c>
      <c r="BX104" s="5">
        <f t="shared" si="107"/>
        <v>17990.579091289364</v>
      </c>
      <c r="BY104" s="5">
        <f t="shared" si="107"/>
        <v>18155.492732959516</v>
      </c>
      <c r="BZ104" s="5">
        <f t="shared" si="107"/>
        <v>18321.918083011653</v>
      </c>
      <c r="CA104" s="5">
        <f t="shared" si="107"/>
        <v>18489.868998772596</v>
      </c>
      <c r="CB104" s="5">
        <f t="shared" si="107"/>
        <v>18659.359464594672</v>
      </c>
      <c r="CC104" s="5">
        <f t="shared" si="107"/>
        <v>18830.403593020128</v>
      </c>
      <c r="CD104" s="5">
        <f t="shared" si="107"/>
        <v>19003.015625956148</v>
      </c>
      <c r="CE104" s="5">
        <f t="shared" si="107"/>
        <v>19177.209935860752</v>
      </c>
      <c r="CF104" s="5">
        <f t="shared" si="107"/>
        <v>19353.001026939477</v>
      </c>
      <c r="CG104" s="5">
        <f t="shared" si="107"/>
        <v>19530.403536353086</v>
      </c>
      <c r="CH104" s="5">
        <f t="shared" si="107"/>
        <v>19709.432235436325</v>
      </c>
      <c r="CI104" s="5">
        <f t="shared" si="107"/>
        <v>19890.102030927825</v>
      </c>
      <c r="CJ104" s="5">
        <f t="shared" si="107"/>
        <v>20072.427966211333</v>
      </c>
      <c r="CK104" s="5">
        <f t="shared" si="107"/>
        <v>20256.425222568272</v>
      </c>
      <c r="CL104" s="5">
        <f t="shared" si="107"/>
        <v>20442.109120441812</v>
      </c>
      <c r="CM104" s="5">
        <f t="shared" si="107"/>
        <v>20629.495120712527</v>
      </c>
      <c r="CN104" s="5">
        <f t="shared" si="107"/>
        <v>20818.598825985726</v>
      </c>
      <c r="CO104" s="5">
        <f t="shared" si="107"/>
        <v>21009.435981890594</v>
      </c>
      <c r="CP104" s="5">
        <f t="shared" si="107"/>
        <v>21202.022478391256</v>
      </c>
      <c r="CQ104" s="5">
        <f t="shared" si="107"/>
        <v>21396.374351109844</v>
      </c>
      <c r="CR104" s="5">
        <f t="shared" si="107"/>
        <v>21592.507782661676</v>
      </c>
      <c r="CS104" s="5">
        <f t="shared" si="107"/>
        <v>21790.43910400274</v>
      </c>
      <c r="CT104" s="5">
        <f t="shared" si="107"/>
        <v>21990.184795789435</v>
      </c>
      <c r="CU104" s="5">
        <f t="shared" si="107"/>
        <v>22191.761489750839</v>
      </c>
      <c r="CV104" s="5">
        <f t="shared" si="107"/>
        <v>22395.185970073551</v>
      </c>
      <c r="CW104" s="5">
        <f t="shared" si="107"/>
        <v>22600.475174799227</v>
      </c>
      <c r="CX104" s="5">
        <f t="shared" si="107"/>
        <v>22807.646197234892</v>
      </c>
      <c r="CY104" s="5">
        <f t="shared" si="107"/>
        <v>23016.716287376214</v>
      </c>
      <c r="CZ104" s="5">
        <f t="shared" si="107"/>
        <v>23227.702853343828</v>
      </c>
      <c r="DA104" s="5">
        <f t="shared" si="107"/>
        <v>23440.623462832809</v>
      </c>
      <c r="DB104" s="5">
        <f t="shared" si="107"/>
        <v>23655.495844575438</v>
      </c>
      <c r="DC104" s="5">
        <f t="shared" si="107"/>
        <v>23872.337889817383</v>
      </c>
      <c r="DD104" s="5">
        <f t="shared" si="107"/>
        <v>24091.167653807381</v>
      </c>
      <c r="DE104" s="5">
        <f t="shared" si="107"/>
        <v>24312.003357300615</v>
      </c>
      <c r="DF104" s="5">
        <f t="shared" si="107"/>
        <v>24534.863388075872</v>
      </c>
      <c r="DG104" s="5">
        <f t="shared" si="107"/>
        <v>24759.76630246656</v>
      </c>
      <c r="DH104" s="5">
        <f t="shared" si="107"/>
        <v>24986.730826905834</v>
      </c>
      <c r="DI104" s="5">
        <f t="shared" si="107"/>
        <v>25215.77585948581</v>
      </c>
      <c r="DJ104" s="5">
        <f t="shared" si="107"/>
        <v>25446.920471531092</v>
      </c>
      <c r="DK104" s="5">
        <f t="shared" si="107"/>
        <v>25680.183909186795</v>
      </c>
      <c r="DL104" s="5">
        <f t="shared" si="107"/>
        <v>25915.58559502101</v>
      </c>
      <c r="DM104" s="5">
        <f t="shared" si="107"/>
        <v>26153.145129642035</v>
      </c>
      <c r="DN104" s="5">
        <f t="shared" si="107"/>
        <v>26392.882293330425</v>
      </c>
      <c r="DO104" s="5">
        <f t="shared" si="107"/>
        <v>26634.817047685952</v>
      </c>
      <c r="DP104" s="5">
        <f t="shared" si="107"/>
        <v>26878.969537289748</v>
      </c>
      <c r="DQ104" s="5">
        <f t="shared" si="107"/>
        <v>27125.360091381568</v>
      </c>
      <c r="DR104" s="5">
        <f t="shared" si="107"/>
        <v>27374.009225552567</v>
      </c>
      <c r="DS104" s="5">
        <f t="shared" si="107"/>
        <v>27624.937643453472</v>
      </c>
      <c r="DT104" s="5">
        <f t="shared" si="107"/>
        <v>27878.166238518461</v>
      </c>
      <c r="DU104" s="5">
        <f t="shared" si="107"/>
        <v>28133.716095704876</v>
      </c>
      <c r="DV104" s="5">
        <f t="shared" si="107"/>
        <v>28391.608493248837</v>
      </c>
      <c r="DW104" s="5">
        <f t="shared" si="107"/>
        <v>28651.864904436952</v>
      </c>
      <c r="DX104" s="5">
        <f t="shared" si="107"/>
        <v>28914.506999394289</v>
      </c>
      <c r="DY104" s="5">
        <f t="shared" si="107"/>
        <v>29179.556646888734</v>
      </c>
      <c r="DZ104" s="5">
        <f t="shared" si="107"/>
        <v>29447.035916151886</v>
      </c>
      <c r="EA104" s="5">
        <f t="shared" si="107"/>
        <v>29716.967078716611</v>
      </c>
      <c r="EB104" s="5">
        <f t="shared" ref="EB104:GM104" si="108">EB102-EB103</f>
        <v>29989.372610271508</v>
      </c>
      <c r="EC104" s="5">
        <f t="shared" si="108"/>
        <v>30264.275192532332</v>
      </c>
      <c r="ED104" s="5">
        <f t="shared" si="108"/>
        <v>30541.697715130555</v>
      </c>
      <c r="EE104" s="5">
        <f t="shared" si="108"/>
        <v>30821.663277519248</v>
      </c>
      <c r="EF104" s="5">
        <f t="shared" si="108"/>
        <v>31104.195190896506</v>
      </c>
      <c r="EG104" s="5">
        <f t="shared" si="108"/>
        <v>31389.316980146388</v>
      </c>
      <c r="EH104" s="5">
        <f t="shared" si="108"/>
        <v>31677.052385797731</v>
      </c>
      <c r="EI104" s="5">
        <f t="shared" si="108"/>
        <v>31967.425366000884</v>
      </c>
      <c r="EJ104" s="5">
        <f t="shared" si="108"/>
        <v>32260.460098522555</v>
      </c>
      <c r="EK104" s="5">
        <f t="shared" si="108"/>
        <v>32556.180982759019</v>
      </c>
      <c r="EL104" s="5">
        <f t="shared" si="108"/>
        <v>32854.612641767642</v>
      </c>
      <c r="EM104" s="5">
        <f t="shared" si="108"/>
        <v>33155.779924317176</v>
      </c>
      <c r="EN104" s="5">
        <f t="shared" si="108"/>
        <v>33459.707906956755</v>
      </c>
      <c r="EO104" s="5">
        <f t="shared" si="108"/>
        <v>33766.421896103857</v>
      </c>
      <c r="EP104" s="5">
        <f t="shared" si="108"/>
        <v>34075.947430151478</v>
      </c>
      <c r="EQ104" s="5">
        <f t="shared" si="108"/>
        <v>34388.310281594531</v>
      </c>
      <c r="ER104" s="5">
        <f t="shared" si="108"/>
        <v>34703.536459175812</v>
      </c>
      <c r="ES104" s="5">
        <f t="shared" si="108"/>
        <v>35021.652210051594</v>
      </c>
      <c r="ET104" s="5">
        <f t="shared" si="108"/>
        <v>35342.68402197706</v>
      </c>
      <c r="EU104" s="5">
        <f t="shared" si="108"/>
        <v>35666.658625511845</v>
      </c>
      <c r="EV104" s="5">
        <f t="shared" si="108"/>
        <v>35993.602996245703</v>
      </c>
      <c r="EW104" s="5">
        <f t="shared" si="108"/>
        <v>36323.544357044622</v>
      </c>
      <c r="EX104" s="5">
        <f t="shared" si="108"/>
        <v>36656.510180317535</v>
      </c>
      <c r="EY104" s="5">
        <f t="shared" si="108"/>
        <v>36992.528190303776</v>
      </c>
      <c r="EZ104" s="5">
        <f t="shared" si="108"/>
        <v>37331.626365381562</v>
      </c>
      <c r="FA104" s="5">
        <f t="shared" si="108"/>
        <v>37673.832940397559</v>
      </c>
      <c r="FB104" s="5">
        <f t="shared" si="108"/>
        <v>38019.176409017869</v>
      </c>
      <c r="FC104" s="5">
        <f t="shared" si="108"/>
        <v>38367.68552610054</v>
      </c>
      <c r="FD104" s="5">
        <f t="shared" si="108"/>
        <v>38719.389310089799</v>
      </c>
      <c r="FE104" s="5">
        <f t="shared" si="108"/>
        <v>39074.317045432283</v>
      </c>
      <c r="FF104" s="5">
        <f t="shared" si="108"/>
        <v>39432.498285015419</v>
      </c>
      <c r="FG104" s="5">
        <f t="shared" si="108"/>
        <v>39793.962852628058</v>
      </c>
      <c r="FH104" s="5">
        <f t="shared" si="108"/>
        <v>40158.740845443812</v>
      </c>
      <c r="FI104" s="5">
        <f t="shared" si="108"/>
        <v>40526.862636527047</v>
      </c>
      <c r="FJ104" s="5">
        <f t="shared" si="108"/>
        <v>40898.358877361876</v>
      </c>
      <c r="FK104" s="5">
        <f t="shared" si="108"/>
        <v>41273.260500404358</v>
      </c>
      <c r="FL104" s="5">
        <f t="shared" si="108"/>
        <v>41651.598721658062</v>
      </c>
      <c r="FM104" s="5">
        <f t="shared" si="108"/>
        <v>42033.405043273262</v>
      </c>
      <c r="FN104" s="5">
        <f t="shared" si="108"/>
        <v>42418.711256169932</v>
      </c>
      <c r="FO104" s="5">
        <f t="shared" si="108"/>
        <v>42807.549442684824</v>
      </c>
      <c r="FP104" s="5">
        <f t="shared" si="108"/>
        <v>43199.951979242767</v>
      </c>
      <c r="FQ104" s="5">
        <f t="shared" si="108"/>
        <v>43595.951539052498</v>
      </c>
      <c r="FR104" s="5">
        <f t="shared" si="108"/>
        <v>43995.581094827146</v>
      </c>
      <c r="FS104" s="5">
        <f t="shared" si="108"/>
        <v>44398.873921529732</v>
      </c>
      <c r="FT104" s="5">
        <f t="shared" si="108"/>
        <v>44805.863599143755</v>
      </c>
      <c r="FU104" s="5">
        <f t="shared" si="108"/>
        <v>45216.584015469241</v>
      </c>
      <c r="FV104" s="5">
        <f t="shared" si="108"/>
        <v>45631.069368944372</v>
      </c>
      <c r="FW104" s="5">
        <f t="shared" si="108"/>
        <v>46049.354171493032</v>
      </c>
      <c r="FX104" s="5">
        <f t="shared" si="108"/>
        <v>46471.473251398384</v>
      </c>
      <c r="FY104" s="5">
        <f t="shared" si="108"/>
        <v>46897.461756202865</v>
      </c>
      <c r="FZ104" s="5">
        <f t="shared" si="108"/>
        <v>47327.355155634723</v>
      </c>
      <c r="GA104" s="5">
        <f t="shared" si="108"/>
        <v>47761.189244561378</v>
      </c>
      <c r="GB104" s="5">
        <f t="shared" si="108"/>
        <v>48199.000145969854</v>
      </c>
      <c r="GC104" s="5">
        <f t="shared" si="108"/>
        <v>48640.824313974583</v>
      </c>
      <c r="GD104" s="5">
        <f t="shared" si="108"/>
        <v>49086.69853685268</v>
      </c>
      <c r="GE104" s="5">
        <f t="shared" si="108"/>
        <v>49536.659940107165</v>
      </c>
      <c r="GF104" s="5">
        <f t="shared" si="108"/>
        <v>49990.745989558149</v>
      </c>
      <c r="GG104" s="5">
        <f t="shared" si="108"/>
        <v>50448.994494462429</v>
      </c>
      <c r="GH104" s="5">
        <f t="shared" si="108"/>
        <v>50911.44361066167</v>
      </c>
      <c r="GI104" s="5">
        <f t="shared" si="108"/>
        <v>51378.131843759402</v>
      </c>
      <c r="GJ104" s="5">
        <f t="shared" si="108"/>
        <v>51849.098052327194</v>
      </c>
      <c r="GK104" s="5">
        <f t="shared" si="108"/>
        <v>52324.381451140194</v>
      </c>
      <c r="GL104" s="5">
        <f t="shared" si="108"/>
        <v>52804.02161444231</v>
      </c>
      <c r="GM104" s="5">
        <f t="shared" si="108"/>
        <v>53288.058479241365</v>
      </c>
      <c r="GN104" s="5">
        <f t="shared" ref="GN104:IY104" si="109">GN102-GN103</f>
        <v>53776.532348634413</v>
      </c>
      <c r="GO104" s="5">
        <f t="shared" si="109"/>
        <v>54269.483895163561</v>
      </c>
      <c r="GP104" s="5">
        <f t="shared" si="109"/>
        <v>54766.954164202558</v>
      </c>
      <c r="GQ104" s="5">
        <f t="shared" si="109"/>
        <v>55268.984577374416</v>
      </c>
      <c r="GR104" s="5">
        <f t="shared" si="109"/>
        <v>55775.616936000341</v>
      </c>
      <c r="GS104" s="5">
        <f t="shared" si="109"/>
        <v>56286.893424580354</v>
      </c>
      <c r="GT104" s="5">
        <f t="shared" si="109"/>
        <v>56802.856614305667</v>
      </c>
      <c r="GU104" s="5">
        <f t="shared" si="109"/>
        <v>57323.549466603472</v>
      </c>
      <c r="GV104" s="5">
        <f t="shared" si="109"/>
        <v>57849.015336714001</v>
      </c>
      <c r="GW104" s="5">
        <f t="shared" si="109"/>
        <v>58379.29797730055</v>
      </c>
      <c r="GX104" s="5">
        <f t="shared" si="109"/>
        <v>58914.441542092471</v>
      </c>
      <c r="GY104" s="5">
        <f t="shared" si="109"/>
        <v>59454.490589561654</v>
      </c>
      <c r="GZ104" s="5">
        <f t="shared" si="109"/>
        <v>59999.490086632635</v>
      </c>
      <c r="HA104" s="5">
        <f t="shared" si="109"/>
        <v>60549.485412426766</v>
      </c>
      <c r="HB104" s="5">
        <f t="shared" si="109"/>
        <v>61104.522362040676</v>
      </c>
      <c r="HC104" s="5">
        <f t="shared" si="109"/>
        <v>61664.647150359386</v>
      </c>
      <c r="HD104" s="5">
        <f t="shared" si="109"/>
        <v>62229.906415904348</v>
      </c>
      <c r="HE104" s="5">
        <f t="shared" si="109"/>
        <v>62800.34722471681</v>
      </c>
      <c r="HF104" s="5">
        <f t="shared" si="109"/>
        <v>63376.017074276708</v>
      </c>
      <c r="HG104" s="5">
        <f t="shared" si="109"/>
        <v>63956.963897457579</v>
      </c>
      <c r="HH104" s="5">
        <f t="shared" si="109"/>
        <v>64543.236066517609</v>
      </c>
      <c r="HI104" s="5">
        <f t="shared" si="109"/>
        <v>65134.882397127352</v>
      </c>
      <c r="HJ104" s="5">
        <f t="shared" si="109"/>
        <v>65731.952152434358</v>
      </c>
      <c r="HK104" s="5">
        <f t="shared" si="109"/>
        <v>66334.495047164994</v>
      </c>
      <c r="HL104" s="5">
        <f t="shared" si="109"/>
        <v>66942.561251764011</v>
      </c>
      <c r="HM104" s="5">
        <f t="shared" si="109"/>
        <v>67556.201396571851</v>
      </c>
      <c r="HN104" s="5">
        <f t="shared" si="109"/>
        <v>68175.466576040431</v>
      </c>
      <c r="HO104" s="5">
        <f t="shared" si="109"/>
        <v>68800.408352987462</v>
      </c>
      <c r="HP104" s="5">
        <f t="shared" si="109"/>
        <v>69431.078762889854</v>
      </c>
      <c r="HQ104" s="5">
        <f t="shared" si="109"/>
        <v>70067.530318216333</v>
      </c>
      <c r="HR104" s="5">
        <f t="shared" si="109"/>
        <v>70709.816012799987</v>
      </c>
      <c r="HS104" s="5">
        <f t="shared" si="109"/>
        <v>71357.989326250652</v>
      </c>
      <c r="HT104" s="5">
        <f t="shared" si="109"/>
        <v>72012.104228407959</v>
      </c>
      <c r="HU104" s="5">
        <f t="shared" si="109"/>
        <v>72672.215183835026</v>
      </c>
      <c r="HV104" s="5">
        <f t="shared" si="109"/>
        <v>73338.377156353512</v>
      </c>
      <c r="HW104" s="5">
        <f t="shared" si="109"/>
        <v>74010.645613620087</v>
      </c>
      <c r="HX104" s="5">
        <f t="shared" si="109"/>
        <v>74689.07653174494</v>
      </c>
      <c r="HY104" s="5">
        <f t="shared" si="109"/>
        <v>75373.726399952604</v>
      </c>
      <c r="HZ104" s="5">
        <f t="shared" si="109"/>
        <v>76064.652225285507</v>
      </c>
      <c r="IA104" s="5">
        <f t="shared" si="109"/>
        <v>76761.911537350621</v>
      </c>
      <c r="IB104" s="5">
        <f t="shared" si="109"/>
        <v>77465.562393109663</v>
      </c>
      <c r="IC104" s="5">
        <f t="shared" si="109"/>
        <v>78175.663381713166</v>
      </c>
      <c r="ID104" s="5">
        <f t="shared" si="109"/>
        <v>78892.273629378877</v>
      </c>
      <c r="IE104" s="5">
        <f t="shared" si="109"/>
        <v>79615.452804314846</v>
      </c>
      <c r="IF104" s="5">
        <f t="shared" si="109"/>
        <v>80345.261121687741</v>
      </c>
      <c r="IG104" s="5">
        <f t="shared" si="109"/>
        <v>81081.759348636537</v>
      </c>
      <c r="IH104" s="5">
        <f t="shared" si="109"/>
        <v>81825.008809332372</v>
      </c>
      <c r="II104" s="5">
        <f t="shared" si="109"/>
        <v>0</v>
      </c>
      <c r="IJ104" s="5">
        <f t="shared" si="109"/>
        <v>0</v>
      </c>
      <c r="IK104" s="5">
        <f t="shared" si="109"/>
        <v>0</v>
      </c>
      <c r="IL104" s="5">
        <f t="shared" si="109"/>
        <v>0</v>
      </c>
      <c r="IM104" s="5">
        <f t="shared" si="109"/>
        <v>0</v>
      </c>
      <c r="IN104" s="5">
        <f t="shared" si="109"/>
        <v>0</v>
      </c>
      <c r="IO104" s="5">
        <f t="shared" si="109"/>
        <v>0</v>
      </c>
      <c r="IP104" s="5">
        <f t="shared" si="109"/>
        <v>0</v>
      </c>
      <c r="IQ104" s="5">
        <f t="shared" si="109"/>
        <v>0</v>
      </c>
      <c r="IR104" s="5">
        <f t="shared" si="109"/>
        <v>0</v>
      </c>
      <c r="IS104" s="5">
        <f t="shared" si="109"/>
        <v>0</v>
      </c>
      <c r="IT104" s="5">
        <f t="shared" si="109"/>
        <v>0</v>
      </c>
      <c r="IU104" s="5">
        <f t="shared" si="109"/>
        <v>0</v>
      </c>
      <c r="IV104" s="5">
        <f t="shared" si="109"/>
        <v>0</v>
      </c>
      <c r="IW104" s="5">
        <f t="shared" si="109"/>
        <v>0</v>
      </c>
      <c r="IX104" s="5">
        <f t="shared" si="109"/>
        <v>0</v>
      </c>
      <c r="IY104" s="5">
        <f t="shared" si="109"/>
        <v>0</v>
      </c>
      <c r="IZ104" s="5">
        <f t="shared" ref="IZ104:LK104" si="110">IZ102-IZ103</f>
        <v>0</v>
      </c>
      <c r="JA104" s="5">
        <f t="shared" si="110"/>
        <v>0</v>
      </c>
      <c r="JB104" s="5">
        <f t="shared" si="110"/>
        <v>0</v>
      </c>
      <c r="JC104" s="5">
        <f t="shared" si="110"/>
        <v>0</v>
      </c>
      <c r="JD104" s="5">
        <f t="shared" si="110"/>
        <v>0</v>
      </c>
      <c r="JE104" s="5">
        <f t="shared" si="110"/>
        <v>0</v>
      </c>
      <c r="JF104" s="5">
        <f t="shared" si="110"/>
        <v>0</v>
      </c>
      <c r="JG104" s="5">
        <f t="shared" si="110"/>
        <v>0</v>
      </c>
      <c r="JH104" s="5">
        <f t="shared" si="110"/>
        <v>0</v>
      </c>
      <c r="JI104" s="5">
        <f t="shared" si="110"/>
        <v>0</v>
      </c>
      <c r="JJ104" s="5">
        <f t="shared" si="110"/>
        <v>0</v>
      </c>
      <c r="JK104" s="5">
        <f t="shared" si="110"/>
        <v>0</v>
      </c>
      <c r="JL104" s="5">
        <f t="shared" si="110"/>
        <v>0</v>
      </c>
      <c r="JM104" s="5">
        <f t="shared" si="110"/>
        <v>0</v>
      </c>
      <c r="JN104" s="5">
        <f t="shared" si="110"/>
        <v>0</v>
      </c>
      <c r="JO104" s="5">
        <f t="shared" si="110"/>
        <v>0</v>
      </c>
      <c r="JP104" s="5">
        <f t="shared" si="110"/>
        <v>0</v>
      </c>
      <c r="JQ104" s="5">
        <f t="shared" si="110"/>
        <v>0</v>
      </c>
      <c r="JR104" s="5">
        <f t="shared" si="110"/>
        <v>0</v>
      </c>
      <c r="JS104" s="5">
        <f t="shared" si="110"/>
        <v>0</v>
      </c>
      <c r="JT104" s="5">
        <f t="shared" si="110"/>
        <v>0</v>
      </c>
      <c r="JU104" s="5">
        <f t="shared" si="110"/>
        <v>0</v>
      </c>
      <c r="JV104" s="5">
        <f t="shared" si="110"/>
        <v>0</v>
      </c>
      <c r="JW104" s="5">
        <f t="shared" si="110"/>
        <v>0</v>
      </c>
      <c r="JX104" s="5">
        <f t="shared" si="110"/>
        <v>0</v>
      </c>
      <c r="JY104" s="5">
        <f t="shared" si="110"/>
        <v>0</v>
      </c>
      <c r="JZ104" s="5">
        <f t="shared" si="110"/>
        <v>0</v>
      </c>
      <c r="KA104" s="5">
        <f t="shared" si="110"/>
        <v>0</v>
      </c>
      <c r="KB104" s="5">
        <f t="shared" si="110"/>
        <v>0</v>
      </c>
      <c r="KC104" s="5">
        <f t="shared" si="110"/>
        <v>0</v>
      </c>
      <c r="KD104" s="5">
        <f t="shared" si="110"/>
        <v>0</v>
      </c>
      <c r="KE104" s="5">
        <f t="shared" si="110"/>
        <v>0</v>
      </c>
      <c r="KF104" s="5">
        <f t="shared" si="110"/>
        <v>0</v>
      </c>
      <c r="KG104" s="5">
        <f t="shared" si="110"/>
        <v>0</v>
      </c>
      <c r="KH104" s="5">
        <f t="shared" si="110"/>
        <v>0</v>
      </c>
      <c r="KI104" s="5">
        <f t="shared" si="110"/>
        <v>0</v>
      </c>
      <c r="KJ104" s="5">
        <f t="shared" si="110"/>
        <v>0</v>
      </c>
      <c r="KK104" s="5">
        <f t="shared" si="110"/>
        <v>0</v>
      </c>
      <c r="KL104" s="5">
        <f t="shared" si="110"/>
        <v>0</v>
      </c>
      <c r="KM104" s="5">
        <f t="shared" si="110"/>
        <v>0</v>
      </c>
      <c r="KN104" s="5">
        <f t="shared" si="110"/>
        <v>0</v>
      </c>
      <c r="KO104" s="5">
        <f t="shared" si="110"/>
        <v>0</v>
      </c>
      <c r="KP104" s="5">
        <f t="shared" si="110"/>
        <v>0</v>
      </c>
      <c r="KQ104" s="5">
        <f t="shared" si="110"/>
        <v>0</v>
      </c>
      <c r="KR104" s="5">
        <f t="shared" si="110"/>
        <v>0</v>
      </c>
      <c r="KS104" s="5">
        <f t="shared" si="110"/>
        <v>0</v>
      </c>
      <c r="KT104" s="5">
        <f t="shared" si="110"/>
        <v>0</v>
      </c>
      <c r="KU104" s="5">
        <f t="shared" si="110"/>
        <v>0</v>
      </c>
      <c r="KV104" s="5">
        <f t="shared" si="110"/>
        <v>0</v>
      </c>
      <c r="KW104" s="5">
        <f t="shared" si="110"/>
        <v>0</v>
      </c>
      <c r="KX104" s="5">
        <f t="shared" si="110"/>
        <v>0</v>
      </c>
      <c r="KY104" s="5">
        <f t="shared" si="110"/>
        <v>0</v>
      </c>
      <c r="KZ104" s="5">
        <f t="shared" si="110"/>
        <v>0</v>
      </c>
      <c r="LA104" s="5">
        <f t="shared" si="110"/>
        <v>0</v>
      </c>
      <c r="LB104" s="5">
        <f t="shared" si="110"/>
        <v>0</v>
      </c>
      <c r="LC104" s="5">
        <f t="shared" si="110"/>
        <v>0</v>
      </c>
      <c r="LD104" s="5">
        <f t="shared" si="110"/>
        <v>0</v>
      </c>
      <c r="LE104" s="5">
        <f t="shared" si="110"/>
        <v>0</v>
      </c>
      <c r="LF104" s="5">
        <f t="shared" si="110"/>
        <v>0</v>
      </c>
      <c r="LG104" s="5">
        <f t="shared" si="110"/>
        <v>0</v>
      </c>
      <c r="LH104" s="5">
        <f t="shared" si="110"/>
        <v>0</v>
      </c>
      <c r="LI104" s="5">
        <f t="shared" si="110"/>
        <v>0</v>
      </c>
      <c r="LJ104" s="5">
        <f t="shared" si="110"/>
        <v>0</v>
      </c>
      <c r="LK104" s="5">
        <f t="shared" si="110"/>
        <v>0</v>
      </c>
      <c r="LL104" s="5">
        <f t="shared" ref="LL104:NW104" si="111">LL102-LL103</f>
        <v>0</v>
      </c>
      <c r="LM104" s="5">
        <f t="shared" si="111"/>
        <v>0</v>
      </c>
      <c r="LN104" s="5">
        <f t="shared" si="111"/>
        <v>0</v>
      </c>
      <c r="LO104" s="5">
        <f t="shared" si="111"/>
        <v>0</v>
      </c>
      <c r="LP104" s="5">
        <f t="shared" si="111"/>
        <v>0</v>
      </c>
      <c r="LQ104" s="5">
        <f t="shared" si="111"/>
        <v>0</v>
      </c>
      <c r="LR104" s="5">
        <f t="shared" si="111"/>
        <v>0</v>
      </c>
      <c r="LS104" s="5">
        <f t="shared" si="111"/>
        <v>0</v>
      </c>
      <c r="LT104" s="5">
        <f t="shared" si="111"/>
        <v>0</v>
      </c>
      <c r="LU104" s="5">
        <f t="shared" si="111"/>
        <v>0</v>
      </c>
      <c r="LV104" s="5">
        <f t="shared" si="111"/>
        <v>0</v>
      </c>
      <c r="LW104" s="5">
        <f t="shared" si="111"/>
        <v>0</v>
      </c>
      <c r="LX104" s="5">
        <f t="shared" si="111"/>
        <v>0</v>
      </c>
      <c r="LY104" s="5">
        <f t="shared" si="111"/>
        <v>0</v>
      </c>
      <c r="LZ104" s="5">
        <f t="shared" si="111"/>
        <v>0</v>
      </c>
      <c r="MA104" s="5">
        <f t="shared" si="111"/>
        <v>0</v>
      </c>
      <c r="MB104" s="5">
        <f t="shared" si="111"/>
        <v>0</v>
      </c>
      <c r="MC104" s="5">
        <f t="shared" si="111"/>
        <v>0</v>
      </c>
      <c r="MD104" s="5">
        <f t="shared" si="111"/>
        <v>0</v>
      </c>
      <c r="ME104" s="5">
        <f t="shared" si="111"/>
        <v>0</v>
      </c>
      <c r="MF104" s="5">
        <f t="shared" si="111"/>
        <v>0</v>
      </c>
      <c r="MG104" s="5">
        <f t="shared" si="111"/>
        <v>0</v>
      </c>
      <c r="MH104" s="5">
        <f t="shared" si="111"/>
        <v>0</v>
      </c>
      <c r="MI104" s="5">
        <f t="shared" si="111"/>
        <v>0</v>
      </c>
      <c r="MJ104" s="5">
        <f t="shared" si="111"/>
        <v>0</v>
      </c>
      <c r="MK104" s="5">
        <f t="shared" si="111"/>
        <v>0</v>
      </c>
      <c r="ML104" s="5">
        <f t="shared" si="111"/>
        <v>0</v>
      </c>
      <c r="MM104" s="5">
        <f t="shared" si="111"/>
        <v>0</v>
      </c>
      <c r="MN104" s="5">
        <f t="shared" si="111"/>
        <v>0</v>
      </c>
      <c r="MO104" s="5">
        <f t="shared" si="111"/>
        <v>0</v>
      </c>
      <c r="MP104" s="5">
        <f t="shared" si="111"/>
        <v>0</v>
      </c>
      <c r="MQ104" s="5">
        <f t="shared" si="111"/>
        <v>0</v>
      </c>
      <c r="MR104" s="5">
        <f t="shared" si="111"/>
        <v>0</v>
      </c>
      <c r="MS104" s="5">
        <f t="shared" si="111"/>
        <v>0</v>
      </c>
      <c r="MT104" s="5">
        <f t="shared" si="111"/>
        <v>0</v>
      </c>
      <c r="MU104" s="5">
        <f t="shared" si="111"/>
        <v>0</v>
      </c>
      <c r="MV104" s="5">
        <f t="shared" si="111"/>
        <v>0</v>
      </c>
      <c r="MW104" s="5">
        <f t="shared" si="111"/>
        <v>0</v>
      </c>
      <c r="MX104" s="5">
        <f t="shared" si="111"/>
        <v>0</v>
      </c>
      <c r="MY104" s="5">
        <f t="shared" si="111"/>
        <v>0</v>
      </c>
      <c r="MZ104" s="5">
        <f t="shared" si="111"/>
        <v>0</v>
      </c>
      <c r="NA104" s="5">
        <f t="shared" si="111"/>
        <v>0</v>
      </c>
      <c r="NB104" s="5">
        <f t="shared" si="111"/>
        <v>0</v>
      </c>
      <c r="NC104" s="5">
        <f t="shared" si="111"/>
        <v>0</v>
      </c>
      <c r="ND104" s="5">
        <f t="shared" si="111"/>
        <v>0</v>
      </c>
      <c r="NE104" s="5">
        <f t="shared" si="111"/>
        <v>0</v>
      </c>
      <c r="NF104" s="5">
        <f t="shared" si="111"/>
        <v>0</v>
      </c>
      <c r="NG104" s="5">
        <f t="shared" si="111"/>
        <v>0</v>
      </c>
      <c r="NH104" s="5">
        <f t="shared" si="111"/>
        <v>0</v>
      </c>
      <c r="NI104" s="5">
        <f t="shared" si="111"/>
        <v>0</v>
      </c>
      <c r="NJ104" s="5">
        <f t="shared" si="111"/>
        <v>0</v>
      </c>
      <c r="NK104" s="5">
        <f t="shared" si="111"/>
        <v>0</v>
      </c>
      <c r="NL104" s="5">
        <f t="shared" si="111"/>
        <v>0</v>
      </c>
      <c r="NM104" s="5">
        <f t="shared" si="111"/>
        <v>0</v>
      </c>
      <c r="NN104" s="5">
        <f t="shared" si="111"/>
        <v>0</v>
      </c>
      <c r="NO104" s="5">
        <f t="shared" si="111"/>
        <v>0</v>
      </c>
      <c r="NP104" s="5">
        <f t="shared" si="111"/>
        <v>0</v>
      </c>
      <c r="NQ104" s="5">
        <f t="shared" si="111"/>
        <v>0</v>
      </c>
      <c r="NR104" s="5">
        <f t="shared" si="111"/>
        <v>0</v>
      </c>
      <c r="NS104" s="5">
        <f t="shared" si="111"/>
        <v>0</v>
      </c>
      <c r="NT104" s="5">
        <f t="shared" si="111"/>
        <v>0</v>
      </c>
      <c r="NU104" s="5">
        <f t="shared" si="111"/>
        <v>0</v>
      </c>
      <c r="NV104" s="5">
        <f t="shared" si="111"/>
        <v>0</v>
      </c>
      <c r="NW104" s="5">
        <f t="shared" si="111"/>
        <v>0</v>
      </c>
      <c r="NX104" s="5">
        <f t="shared" ref="NX104:PF104" si="112">NX102-NX103</f>
        <v>0</v>
      </c>
      <c r="NY104" s="5">
        <f t="shared" si="112"/>
        <v>0</v>
      </c>
      <c r="NZ104" s="5">
        <f t="shared" si="112"/>
        <v>0</v>
      </c>
      <c r="OA104" s="5">
        <f t="shared" si="112"/>
        <v>0</v>
      </c>
      <c r="OB104" s="5">
        <f t="shared" si="112"/>
        <v>0</v>
      </c>
      <c r="OC104" s="5">
        <f t="shared" si="112"/>
        <v>0</v>
      </c>
      <c r="OD104" s="5">
        <f t="shared" si="112"/>
        <v>0</v>
      </c>
      <c r="OE104" s="5">
        <f t="shared" si="112"/>
        <v>0</v>
      </c>
      <c r="OF104" s="5">
        <f t="shared" si="112"/>
        <v>0</v>
      </c>
      <c r="OG104" s="5">
        <f t="shared" si="112"/>
        <v>0</v>
      </c>
      <c r="OH104" s="5">
        <f t="shared" si="112"/>
        <v>0</v>
      </c>
      <c r="OI104" s="5">
        <f t="shared" si="112"/>
        <v>0</v>
      </c>
      <c r="OJ104" s="5">
        <f t="shared" si="112"/>
        <v>0</v>
      </c>
      <c r="OK104" s="5">
        <f t="shared" si="112"/>
        <v>0</v>
      </c>
      <c r="OL104" s="5">
        <f t="shared" si="112"/>
        <v>0</v>
      </c>
      <c r="OM104" s="5">
        <f t="shared" si="112"/>
        <v>0</v>
      </c>
      <c r="ON104" s="5">
        <f t="shared" si="112"/>
        <v>0</v>
      </c>
      <c r="OO104" s="5">
        <f t="shared" si="112"/>
        <v>0</v>
      </c>
      <c r="OP104" s="5">
        <f t="shared" si="112"/>
        <v>0</v>
      </c>
      <c r="OQ104" s="5">
        <f t="shared" si="112"/>
        <v>0</v>
      </c>
      <c r="OR104" s="5">
        <f t="shared" si="112"/>
        <v>0</v>
      </c>
      <c r="OS104" s="5">
        <f t="shared" si="112"/>
        <v>0</v>
      </c>
      <c r="OT104" s="5">
        <f t="shared" si="112"/>
        <v>0</v>
      </c>
      <c r="OU104" s="5">
        <f t="shared" si="112"/>
        <v>0</v>
      </c>
      <c r="OV104" s="5">
        <f t="shared" si="112"/>
        <v>0</v>
      </c>
      <c r="OW104" s="5">
        <f t="shared" si="112"/>
        <v>0</v>
      </c>
      <c r="OX104" s="5">
        <f t="shared" si="112"/>
        <v>0</v>
      </c>
      <c r="OY104" s="5">
        <f t="shared" si="112"/>
        <v>0</v>
      </c>
      <c r="OZ104" s="5">
        <f t="shared" si="112"/>
        <v>0</v>
      </c>
      <c r="PA104" s="5">
        <f t="shared" si="112"/>
        <v>0</v>
      </c>
      <c r="PB104" s="5">
        <f t="shared" si="112"/>
        <v>0</v>
      </c>
      <c r="PC104" s="5">
        <f t="shared" si="112"/>
        <v>0</v>
      </c>
      <c r="PD104" s="5">
        <f t="shared" si="112"/>
        <v>0</v>
      </c>
      <c r="PE104" s="5">
        <f t="shared" si="112"/>
        <v>0</v>
      </c>
      <c r="PF104" s="5">
        <f t="shared" si="112"/>
        <v>0</v>
      </c>
    </row>
    <row r="105" spans="1:422" hidden="1">
      <c r="A105" s="6"/>
      <c r="C105" s="18"/>
    </row>
    <row r="106" spans="1:422" ht="30" hidden="1">
      <c r="A106" s="7" t="s">
        <v>62</v>
      </c>
      <c r="B106" s="4">
        <v>150000</v>
      </c>
      <c r="C106" s="18"/>
    </row>
    <row r="107" spans="1:422" ht="45" hidden="1">
      <c r="A107" s="7" t="s">
        <v>63</v>
      </c>
      <c r="B107" s="4">
        <v>200000</v>
      </c>
      <c r="C107" s="18"/>
    </row>
    <row r="108" spans="1:422" hidden="1">
      <c r="A108" s="6" t="s">
        <v>40</v>
      </c>
      <c r="C108" s="18">
        <f t="shared" ref="C108:BN108" si="113">IF(C95&lt;=$B$26, MIN($B$106/12, C104), 0)</f>
        <v>9241.7380567512155</v>
      </c>
      <c r="D108" s="5">
        <f t="shared" si="113"/>
        <v>9326.4539889380976</v>
      </c>
      <c r="E108" s="5">
        <f t="shared" si="113"/>
        <v>9411.9464838366839</v>
      </c>
      <c r="F108" s="5">
        <f t="shared" si="113"/>
        <v>9498.2226599385176</v>
      </c>
      <c r="G108" s="5">
        <f t="shared" si="113"/>
        <v>9585.2897009879671</v>
      </c>
      <c r="H108" s="5">
        <f t="shared" si="113"/>
        <v>9673.1548565803532</v>
      </c>
      <c r="I108" s="5">
        <f t="shared" si="113"/>
        <v>9761.8254427656648</v>
      </c>
      <c r="J108" s="5">
        <f t="shared" si="113"/>
        <v>9851.3088426576869</v>
      </c>
      <c r="K108" s="5">
        <f t="shared" si="113"/>
        <v>9941.6125070487178</v>
      </c>
      <c r="L108" s="5">
        <f t="shared" si="113"/>
        <v>10032.743955030004</v>
      </c>
      <c r="M108" s="5">
        <f t="shared" si="113"/>
        <v>10124.710774617779</v>
      </c>
      <c r="N108" s="5">
        <f t="shared" si="113"/>
        <v>10217.52062338512</v>
      </c>
      <c r="O108" s="5">
        <f t="shared" si="113"/>
        <v>10311.181229099471</v>
      </c>
      <c r="P108" s="5">
        <f t="shared" si="113"/>
        <v>10405.700390366226</v>
      </c>
      <c r="Q108" s="5">
        <f t="shared" si="113"/>
        <v>10501.085977277908</v>
      </c>
      <c r="R108" s="5">
        <f t="shared" si="113"/>
        <v>10597.345932069627</v>
      </c>
      <c r="S108" s="5">
        <f t="shared" si="113"/>
        <v>10694.488269780253</v>
      </c>
      <c r="T108" s="5">
        <f t="shared" si="113"/>
        <v>10792.521078919905</v>
      </c>
      <c r="U108" s="5">
        <f t="shared" si="113"/>
        <v>10891.452522143343</v>
      </c>
      <c r="V108" s="5">
        <f t="shared" si="113"/>
        <v>10991.290836929664</v>
      </c>
      <c r="W108" s="5">
        <f t="shared" si="113"/>
        <v>11092.044336268184</v>
      </c>
      <c r="X108" s="5">
        <f t="shared" si="113"/>
        <v>11193.721409350634</v>
      </c>
      <c r="Y108" s="5">
        <f t="shared" si="113"/>
        <v>11296.33052226968</v>
      </c>
      <c r="Z108" s="5">
        <f t="shared" si="113"/>
        <v>11399.880218723818</v>
      </c>
      <c r="AA108" s="5">
        <f t="shared" si="113"/>
        <v>11504.379120728787</v>
      </c>
      <c r="AB108" s="5">
        <f t="shared" si="113"/>
        <v>11609.835929335473</v>
      </c>
      <c r="AC108" s="5">
        <f t="shared" si="113"/>
        <v>11716.259425354379</v>
      </c>
      <c r="AD108" s="5">
        <f t="shared" si="113"/>
        <v>11823.658470086782</v>
      </c>
      <c r="AE108" s="5">
        <f t="shared" si="113"/>
        <v>11932.042006062591</v>
      </c>
      <c r="AF108" s="5">
        <f t="shared" si="113"/>
        <v>12041.41905778482</v>
      </c>
      <c r="AG108" s="5">
        <f t="shared" si="113"/>
        <v>12151.798732481184</v>
      </c>
      <c r="AH108" s="5">
        <f t="shared" si="113"/>
        <v>12263.190220862263</v>
      </c>
      <c r="AI108" s="5">
        <f t="shared" si="113"/>
        <v>12375.602797886837</v>
      </c>
      <c r="AJ108" s="5">
        <f t="shared" si="113"/>
        <v>12489.045823534136</v>
      </c>
      <c r="AK108" s="5">
        <f t="shared" si="113"/>
        <v>12500</v>
      </c>
      <c r="AL108" s="5">
        <f t="shared" si="113"/>
        <v>12500</v>
      </c>
      <c r="AM108" s="5">
        <f t="shared" si="113"/>
        <v>12500</v>
      </c>
      <c r="AN108" s="5">
        <f t="shared" si="113"/>
        <v>12500</v>
      </c>
      <c r="AO108" s="5">
        <f t="shared" si="113"/>
        <v>12500</v>
      </c>
      <c r="AP108" s="5">
        <f t="shared" si="113"/>
        <v>12500</v>
      </c>
      <c r="AQ108" s="5">
        <f t="shared" si="113"/>
        <v>12500</v>
      </c>
      <c r="AR108" s="5">
        <f t="shared" si="113"/>
        <v>12500</v>
      </c>
      <c r="AS108" s="5">
        <f t="shared" si="113"/>
        <v>12500</v>
      </c>
      <c r="AT108" s="5">
        <f t="shared" si="113"/>
        <v>12500</v>
      </c>
      <c r="AU108" s="5">
        <f t="shared" si="113"/>
        <v>12500</v>
      </c>
      <c r="AV108" s="5">
        <f t="shared" si="113"/>
        <v>12500</v>
      </c>
      <c r="AW108" s="5">
        <f t="shared" si="113"/>
        <v>12500</v>
      </c>
      <c r="AX108" s="5">
        <f t="shared" si="113"/>
        <v>12500</v>
      </c>
      <c r="AY108" s="5">
        <f t="shared" si="113"/>
        <v>12500</v>
      </c>
      <c r="AZ108" s="5">
        <f t="shared" si="113"/>
        <v>12500</v>
      </c>
      <c r="BA108" s="5">
        <f t="shared" si="113"/>
        <v>12500</v>
      </c>
      <c r="BB108" s="5">
        <f t="shared" si="113"/>
        <v>12500</v>
      </c>
      <c r="BC108" s="5">
        <f t="shared" si="113"/>
        <v>12500</v>
      </c>
      <c r="BD108" s="5">
        <f t="shared" si="113"/>
        <v>12500</v>
      </c>
      <c r="BE108" s="5">
        <f t="shared" si="113"/>
        <v>12500</v>
      </c>
      <c r="BF108" s="5">
        <f t="shared" si="113"/>
        <v>12500</v>
      </c>
      <c r="BG108" s="5">
        <f t="shared" si="113"/>
        <v>12500</v>
      </c>
      <c r="BH108" s="5">
        <f t="shared" si="113"/>
        <v>12500</v>
      </c>
      <c r="BI108" s="5">
        <f t="shared" si="113"/>
        <v>12500</v>
      </c>
      <c r="BJ108" s="5">
        <f t="shared" si="113"/>
        <v>12500</v>
      </c>
      <c r="BK108" s="5">
        <f t="shared" si="113"/>
        <v>12500</v>
      </c>
      <c r="BL108" s="5">
        <f t="shared" si="113"/>
        <v>12500</v>
      </c>
      <c r="BM108" s="5">
        <f t="shared" si="113"/>
        <v>12500</v>
      </c>
      <c r="BN108" s="5">
        <f t="shared" si="113"/>
        <v>12500</v>
      </c>
      <c r="BO108" s="5">
        <f t="shared" ref="BO108:DZ108" si="114">IF(BO95&lt;=$B$26, MIN($B$106/12, BO104), 0)</f>
        <v>12500</v>
      </c>
      <c r="BP108" s="5">
        <f t="shared" si="114"/>
        <v>12500</v>
      </c>
      <c r="BQ108" s="5">
        <f t="shared" si="114"/>
        <v>12500</v>
      </c>
      <c r="BR108" s="5">
        <f t="shared" si="114"/>
        <v>12500</v>
      </c>
      <c r="BS108" s="5">
        <f t="shared" si="114"/>
        <v>12500</v>
      </c>
      <c r="BT108" s="5">
        <f t="shared" si="114"/>
        <v>12500</v>
      </c>
      <c r="BU108" s="5">
        <f t="shared" si="114"/>
        <v>12500</v>
      </c>
      <c r="BV108" s="5">
        <f t="shared" si="114"/>
        <v>12500</v>
      </c>
      <c r="BW108" s="5">
        <f t="shared" si="114"/>
        <v>12500</v>
      </c>
      <c r="BX108" s="5">
        <f t="shared" si="114"/>
        <v>12500</v>
      </c>
      <c r="BY108" s="5">
        <f t="shared" si="114"/>
        <v>12500</v>
      </c>
      <c r="BZ108" s="5">
        <f t="shared" si="114"/>
        <v>12500</v>
      </c>
      <c r="CA108" s="5">
        <f t="shared" si="114"/>
        <v>12500</v>
      </c>
      <c r="CB108" s="5">
        <f t="shared" si="114"/>
        <v>12500</v>
      </c>
      <c r="CC108" s="5">
        <f t="shared" si="114"/>
        <v>12500</v>
      </c>
      <c r="CD108" s="5">
        <f t="shared" si="114"/>
        <v>12500</v>
      </c>
      <c r="CE108" s="5">
        <f t="shared" si="114"/>
        <v>12500</v>
      </c>
      <c r="CF108" s="5">
        <f t="shared" si="114"/>
        <v>12500</v>
      </c>
      <c r="CG108" s="5">
        <f t="shared" si="114"/>
        <v>12500</v>
      </c>
      <c r="CH108" s="5">
        <f t="shared" si="114"/>
        <v>12500</v>
      </c>
      <c r="CI108" s="5">
        <f t="shared" si="114"/>
        <v>12500</v>
      </c>
      <c r="CJ108" s="5">
        <f t="shared" si="114"/>
        <v>12500</v>
      </c>
      <c r="CK108" s="5">
        <f t="shared" si="114"/>
        <v>12500</v>
      </c>
      <c r="CL108" s="5">
        <f t="shared" si="114"/>
        <v>12500</v>
      </c>
      <c r="CM108" s="5">
        <f t="shared" si="114"/>
        <v>12500</v>
      </c>
      <c r="CN108" s="5">
        <f t="shared" si="114"/>
        <v>12500</v>
      </c>
      <c r="CO108" s="5">
        <f t="shared" si="114"/>
        <v>12500</v>
      </c>
      <c r="CP108" s="5">
        <f t="shared" si="114"/>
        <v>12500</v>
      </c>
      <c r="CQ108" s="5">
        <f t="shared" si="114"/>
        <v>12500</v>
      </c>
      <c r="CR108" s="5">
        <f t="shared" si="114"/>
        <v>12500</v>
      </c>
      <c r="CS108" s="5">
        <f t="shared" si="114"/>
        <v>12500</v>
      </c>
      <c r="CT108" s="5">
        <f t="shared" si="114"/>
        <v>12500</v>
      </c>
      <c r="CU108" s="5">
        <f t="shared" si="114"/>
        <v>12500</v>
      </c>
      <c r="CV108" s="5">
        <f t="shared" si="114"/>
        <v>12500</v>
      </c>
      <c r="CW108" s="5">
        <f t="shared" si="114"/>
        <v>12500</v>
      </c>
      <c r="CX108" s="5">
        <f t="shared" si="114"/>
        <v>12500</v>
      </c>
      <c r="CY108" s="5">
        <f t="shared" si="114"/>
        <v>12500</v>
      </c>
      <c r="CZ108" s="5">
        <f t="shared" si="114"/>
        <v>12500</v>
      </c>
      <c r="DA108" s="5">
        <f t="shared" si="114"/>
        <v>12500</v>
      </c>
      <c r="DB108" s="5">
        <f t="shared" si="114"/>
        <v>12500</v>
      </c>
      <c r="DC108" s="5">
        <f t="shared" si="114"/>
        <v>12500</v>
      </c>
      <c r="DD108" s="5">
        <f t="shared" si="114"/>
        <v>12500</v>
      </c>
      <c r="DE108" s="5">
        <f t="shared" si="114"/>
        <v>12500</v>
      </c>
      <c r="DF108" s="5">
        <f t="shared" si="114"/>
        <v>12500</v>
      </c>
      <c r="DG108" s="5">
        <f t="shared" si="114"/>
        <v>12500</v>
      </c>
      <c r="DH108" s="5">
        <f t="shared" si="114"/>
        <v>12500</v>
      </c>
      <c r="DI108" s="5">
        <f t="shared" si="114"/>
        <v>12500</v>
      </c>
      <c r="DJ108" s="5">
        <f t="shared" si="114"/>
        <v>12500</v>
      </c>
      <c r="DK108" s="5">
        <f t="shared" si="114"/>
        <v>12500</v>
      </c>
      <c r="DL108" s="5">
        <f t="shared" si="114"/>
        <v>12500</v>
      </c>
      <c r="DM108" s="5">
        <f t="shared" si="114"/>
        <v>12500</v>
      </c>
      <c r="DN108" s="5">
        <f t="shared" si="114"/>
        <v>12500</v>
      </c>
      <c r="DO108" s="5">
        <f t="shared" si="114"/>
        <v>12500</v>
      </c>
      <c r="DP108" s="5">
        <f t="shared" si="114"/>
        <v>12500</v>
      </c>
      <c r="DQ108" s="5">
        <f t="shared" si="114"/>
        <v>12500</v>
      </c>
      <c r="DR108" s="5">
        <f t="shared" si="114"/>
        <v>12500</v>
      </c>
      <c r="DS108" s="5">
        <f t="shared" si="114"/>
        <v>12500</v>
      </c>
      <c r="DT108" s="5">
        <f t="shared" si="114"/>
        <v>12500</v>
      </c>
      <c r="DU108" s="5">
        <f t="shared" si="114"/>
        <v>12500</v>
      </c>
      <c r="DV108" s="5">
        <f t="shared" si="114"/>
        <v>12500</v>
      </c>
      <c r="DW108" s="5">
        <f t="shared" si="114"/>
        <v>12500</v>
      </c>
      <c r="DX108" s="5">
        <f t="shared" si="114"/>
        <v>12500</v>
      </c>
      <c r="DY108" s="5">
        <f t="shared" si="114"/>
        <v>12500</v>
      </c>
      <c r="DZ108" s="5">
        <f t="shared" si="114"/>
        <v>12500</v>
      </c>
      <c r="EA108" s="5">
        <f t="shared" ref="EA108:GL108" si="115">IF(EA95&lt;=$B$26, MIN($B$106/12, EA104), 0)</f>
        <v>12500</v>
      </c>
      <c r="EB108" s="5">
        <f t="shared" si="115"/>
        <v>12500</v>
      </c>
      <c r="EC108" s="5">
        <f t="shared" si="115"/>
        <v>12500</v>
      </c>
      <c r="ED108" s="5">
        <f t="shared" si="115"/>
        <v>12500</v>
      </c>
      <c r="EE108" s="5">
        <f t="shared" si="115"/>
        <v>12500</v>
      </c>
      <c r="EF108" s="5">
        <f t="shared" si="115"/>
        <v>12500</v>
      </c>
      <c r="EG108" s="5">
        <f t="shared" si="115"/>
        <v>12500</v>
      </c>
      <c r="EH108" s="5">
        <f t="shared" si="115"/>
        <v>12500</v>
      </c>
      <c r="EI108" s="5">
        <f t="shared" si="115"/>
        <v>12500</v>
      </c>
      <c r="EJ108" s="5">
        <f t="shared" si="115"/>
        <v>12500</v>
      </c>
      <c r="EK108" s="5">
        <f t="shared" si="115"/>
        <v>12500</v>
      </c>
      <c r="EL108" s="5">
        <f t="shared" si="115"/>
        <v>12500</v>
      </c>
      <c r="EM108" s="5">
        <f t="shared" si="115"/>
        <v>12500</v>
      </c>
      <c r="EN108" s="5">
        <f t="shared" si="115"/>
        <v>12500</v>
      </c>
      <c r="EO108" s="5">
        <f t="shared" si="115"/>
        <v>12500</v>
      </c>
      <c r="EP108" s="5">
        <f t="shared" si="115"/>
        <v>12500</v>
      </c>
      <c r="EQ108" s="5">
        <f t="shared" si="115"/>
        <v>12500</v>
      </c>
      <c r="ER108" s="5">
        <f t="shared" si="115"/>
        <v>12500</v>
      </c>
      <c r="ES108" s="5">
        <f t="shared" si="115"/>
        <v>12500</v>
      </c>
      <c r="ET108" s="5">
        <f t="shared" si="115"/>
        <v>12500</v>
      </c>
      <c r="EU108" s="5">
        <f t="shared" si="115"/>
        <v>12500</v>
      </c>
      <c r="EV108" s="5">
        <f t="shared" si="115"/>
        <v>12500</v>
      </c>
      <c r="EW108" s="5">
        <f t="shared" si="115"/>
        <v>12500</v>
      </c>
      <c r="EX108" s="5">
        <f t="shared" si="115"/>
        <v>12500</v>
      </c>
      <c r="EY108" s="5">
        <f t="shared" si="115"/>
        <v>12500</v>
      </c>
      <c r="EZ108" s="5">
        <f t="shared" si="115"/>
        <v>12500</v>
      </c>
      <c r="FA108" s="5">
        <f t="shared" si="115"/>
        <v>12500</v>
      </c>
      <c r="FB108" s="5">
        <f t="shared" si="115"/>
        <v>12500</v>
      </c>
      <c r="FC108" s="5">
        <f t="shared" si="115"/>
        <v>12500</v>
      </c>
      <c r="FD108" s="5">
        <f t="shared" si="115"/>
        <v>12500</v>
      </c>
      <c r="FE108" s="5">
        <f t="shared" si="115"/>
        <v>12500</v>
      </c>
      <c r="FF108" s="5">
        <f t="shared" si="115"/>
        <v>12500</v>
      </c>
      <c r="FG108" s="5">
        <f t="shared" si="115"/>
        <v>12500</v>
      </c>
      <c r="FH108" s="5">
        <f t="shared" si="115"/>
        <v>12500</v>
      </c>
      <c r="FI108" s="5">
        <f t="shared" si="115"/>
        <v>12500</v>
      </c>
      <c r="FJ108" s="5">
        <f t="shared" si="115"/>
        <v>12500</v>
      </c>
      <c r="FK108" s="5">
        <f t="shared" si="115"/>
        <v>12500</v>
      </c>
      <c r="FL108" s="5">
        <f t="shared" si="115"/>
        <v>12500</v>
      </c>
      <c r="FM108" s="5">
        <f t="shared" si="115"/>
        <v>12500</v>
      </c>
      <c r="FN108" s="5">
        <f t="shared" si="115"/>
        <v>12500</v>
      </c>
      <c r="FO108" s="5">
        <f t="shared" si="115"/>
        <v>12500</v>
      </c>
      <c r="FP108" s="5">
        <f t="shared" si="115"/>
        <v>12500</v>
      </c>
      <c r="FQ108" s="5">
        <f t="shared" si="115"/>
        <v>12500</v>
      </c>
      <c r="FR108" s="5">
        <f t="shared" si="115"/>
        <v>12500</v>
      </c>
      <c r="FS108" s="5">
        <f t="shared" si="115"/>
        <v>12500</v>
      </c>
      <c r="FT108" s="5">
        <f t="shared" si="115"/>
        <v>12500</v>
      </c>
      <c r="FU108" s="5">
        <f t="shared" si="115"/>
        <v>12500</v>
      </c>
      <c r="FV108" s="5">
        <f t="shared" si="115"/>
        <v>12500</v>
      </c>
      <c r="FW108" s="5">
        <f t="shared" si="115"/>
        <v>12500</v>
      </c>
      <c r="FX108" s="5">
        <f t="shared" si="115"/>
        <v>12500</v>
      </c>
      <c r="FY108" s="5">
        <f t="shared" si="115"/>
        <v>12500</v>
      </c>
      <c r="FZ108" s="5">
        <f t="shared" si="115"/>
        <v>12500</v>
      </c>
      <c r="GA108" s="5">
        <f t="shared" si="115"/>
        <v>12500</v>
      </c>
      <c r="GB108" s="5">
        <f t="shared" si="115"/>
        <v>12500</v>
      </c>
      <c r="GC108" s="5">
        <f t="shared" si="115"/>
        <v>12500</v>
      </c>
      <c r="GD108" s="5">
        <f t="shared" si="115"/>
        <v>12500</v>
      </c>
      <c r="GE108" s="5">
        <f t="shared" si="115"/>
        <v>12500</v>
      </c>
      <c r="GF108" s="5">
        <f t="shared" si="115"/>
        <v>12500</v>
      </c>
      <c r="GG108" s="5">
        <f t="shared" si="115"/>
        <v>12500</v>
      </c>
      <c r="GH108" s="5">
        <f t="shared" si="115"/>
        <v>12500</v>
      </c>
      <c r="GI108" s="5">
        <f t="shared" si="115"/>
        <v>12500</v>
      </c>
      <c r="GJ108" s="5">
        <f t="shared" si="115"/>
        <v>12500</v>
      </c>
      <c r="GK108" s="5">
        <f t="shared" si="115"/>
        <v>12500</v>
      </c>
      <c r="GL108" s="5">
        <f t="shared" si="115"/>
        <v>12500</v>
      </c>
      <c r="GM108" s="5">
        <f t="shared" ref="GM108:IX108" si="116">IF(GM95&lt;=$B$26, MIN($B$106/12, GM104), 0)</f>
        <v>12500</v>
      </c>
      <c r="GN108" s="5">
        <f t="shared" si="116"/>
        <v>12500</v>
      </c>
      <c r="GO108" s="5">
        <f t="shared" si="116"/>
        <v>12500</v>
      </c>
      <c r="GP108" s="5">
        <f t="shared" si="116"/>
        <v>12500</v>
      </c>
      <c r="GQ108" s="5">
        <f t="shared" si="116"/>
        <v>12500</v>
      </c>
      <c r="GR108" s="5">
        <f t="shared" si="116"/>
        <v>12500</v>
      </c>
      <c r="GS108" s="5">
        <f t="shared" si="116"/>
        <v>12500</v>
      </c>
      <c r="GT108" s="5">
        <f t="shared" si="116"/>
        <v>12500</v>
      </c>
      <c r="GU108" s="5">
        <f t="shared" si="116"/>
        <v>12500</v>
      </c>
      <c r="GV108" s="5">
        <f t="shared" si="116"/>
        <v>12500</v>
      </c>
      <c r="GW108" s="5">
        <f t="shared" si="116"/>
        <v>12500</v>
      </c>
      <c r="GX108" s="5">
        <f t="shared" si="116"/>
        <v>12500</v>
      </c>
      <c r="GY108" s="5">
        <f t="shared" si="116"/>
        <v>12500</v>
      </c>
      <c r="GZ108" s="5">
        <f t="shared" si="116"/>
        <v>12500</v>
      </c>
      <c r="HA108" s="5">
        <f t="shared" si="116"/>
        <v>12500</v>
      </c>
      <c r="HB108" s="5">
        <f t="shared" si="116"/>
        <v>12500</v>
      </c>
      <c r="HC108" s="5">
        <f t="shared" si="116"/>
        <v>12500</v>
      </c>
      <c r="HD108" s="5">
        <f t="shared" si="116"/>
        <v>12500</v>
      </c>
      <c r="HE108" s="5">
        <f t="shared" si="116"/>
        <v>12500</v>
      </c>
      <c r="HF108" s="5">
        <f t="shared" si="116"/>
        <v>12500</v>
      </c>
      <c r="HG108" s="5">
        <f t="shared" si="116"/>
        <v>12500</v>
      </c>
      <c r="HH108" s="5">
        <f t="shared" si="116"/>
        <v>12500</v>
      </c>
      <c r="HI108" s="5">
        <f t="shared" si="116"/>
        <v>12500</v>
      </c>
      <c r="HJ108" s="5">
        <f t="shared" si="116"/>
        <v>12500</v>
      </c>
      <c r="HK108" s="5">
        <f t="shared" si="116"/>
        <v>12500</v>
      </c>
      <c r="HL108" s="5">
        <f t="shared" si="116"/>
        <v>12500</v>
      </c>
      <c r="HM108" s="5">
        <f t="shared" si="116"/>
        <v>12500</v>
      </c>
      <c r="HN108" s="5">
        <f t="shared" si="116"/>
        <v>12500</v>
      </c>
      <c r="HO108" s="5">
        <f t="shared" si="116"/>
        <v>12500</v>
      </c>
      <c r="HP108" s="5">
        <f t="shared" si="116"/>
        <v>12500</v>
      </c>
      <c r="HQ108" s="5">
        <f t="shared" si="116"/>
        <v>12500</v>
      </c>
      <c r="HR108" s="5">
        <f t="shared" si="116"/>
        <v>12500</v>
      </c>
      <c r="HS108" s="5">
        <f t="shared" si="116"/>
        <v>12500</v>
      </c>
      <c r="HT108" s="5">
        <f t="shared" si="116"/>
        <v>12500</v>
      </c>
      <c r="HU108" s="5">
        <f t="shared" si="116"/>
        <v>12500</v>
      </c>
      <c r="HV108" s="5">
        <f t="shared" si="116"/>
        <v>12500</v>
      </c>
      <c r="HW108" s="5">
        <f t="shared" si="116"/>
        <v>12500</v>
      </c>
      <c r="HX108" s="5">
        <f t="shared" si="116"/>
        <v>12500</v>
      </c>
      <c r="HY108" s="5">
        <f t="shared" si="116"/>
        <v>12500</v>
      </c>
      <c r="HZ108" s="5">
        <f t="shared" si="116"/>
        <v>12500</v>
      </c>
      <c r="IA108" s="5">
        <f t="shared" si="116"/>
        <v>12500</v>
      </c>
      <c r="IB108" s="5">
        <f t="shared" si="116"/>
        <v>12500</v>
      </c>
      <c r="IC108" s="5">
        <f t="shared" si="116"/>
        <v>12500</v>
      </c>
      <c r="ID108" s="5">
        <f t="shared" si="116"/>
        <v>12500</v>
      </c>
      <c r="IE108" s="5">
        <f t="shared" si="116"/>
        <v>12500</v>
      </c>
      <c r="IF108" s="5">
        <f t="shared" si="116"/>
        <v>12500</v>
      </c>
      <c r="IG108" s="5">
        <f t="shared" si="116"/>
        <v>12500</v>
      </c>
      <c r="IH108" s="5">
        <f t="shared" si="116"/>
        <v>12500</v>
      </c>
      <c r="II108" s="5">
        <f t="shared" si="116"/>
        <v>0</v>
      </c>
      <c r="IJ108" s="5">
        <f t="shared" si="116"/>
        <v>0</v>
      </c>
      <c r="IK108" s="5">
        <f t="shared" si="116"/>
        <v>0</v>
      </c>
      <c r="IL108" s="5">
        <f t="shared" si="116"/>
        <v>0</v>
      </c>
      <c r="IM108" s="5">
        <f t="shared" si="116"/>
        <v>0</v>
      </c>
      <c r="IN108" s="5">
        <f t="shared" si="116"/>
        <v>0</v>
      </c>
      <c r="IO108" s="5">
        <f t="shared" si="116"/>
        <v>0</v>
      </c>
      <c r="IP108" s="5">
        <f t="shared" si="116"/>
        <v>0</v>
      </c>
      <c r="IQ108" s="5">
        <f t="shared" si="116"/>
        <v>0</v>
      </c>
      <c r="IR108" s="5">
        <f t="shared" si="116"/>
        <v>0</v>
      </c>
      <c r="IS108" s="5">
        <f t="shared" si="116"/>
        <v>0</v>
      </c>
      <c r="IT108" s="5">
        <f t="shared" si="116"/>
        <v>0</v>
      </c>
      <c r="IU108" s="5">
        <f t="shared" si="116"/>
        <v>0</v>
      </c>
      <c r="IV108" s="5">
        <f t="shared" si="116"/>
        <v>0</v>
      </c>
      <c r="IW108" s="5">
        <f t="shared" si="116"/>
        <v>0</v>
      </c>
      <c r="IX108" s="5">
        <f t="shared" si="116"/>
        <v>0</v>
      </c>
      <c r="IY108" s="5">
        <f t="shared" ref="IY108:LJ108" si="117">IF(IY95&lt;=$B$26, MIN($B$106/12, IY104), 0)</f>
        <v>0</v>
      </c>
      <c r="IZ108" s="5">
        <f t="shared" si="117"/>
        <v>0</v>
      </c>
      <c r="JA108" s="5">
        <f t="shared" si="117"/>
        <v>0</v>
      </c>
      <c r="JB108" s="5">
        <f t="shared" si="117"/>
        <v>0</v>
      </c>
      <c r="JC108" s="5">
        <f t="shared" si="117"/>
        <v>0</v>
      </c>
      <c r="JD108" s="5">
        <f t="shared" si="117"/>
        <v>0</v>
      </c>
      <c r="JE108" s="5">
        <f t="shared" si="117"/>
        <v>0</v>
      </c>
      <c r="JF108" s="5">
        <f t="shared" si="117"/>
        <v>0</v>
      </c>
      <c r="JG108" s="5">
        <f t="shared" si="117"/>
        <v>0</v>
      </c>
      <c r="JH108" s="5">
        <f t="shared" si="117"/>
        <v>0</v>
      </c>
      <c r="JI108" s="5">
        <f t="shared" si="117"/>
        <v>0</v>
      </c>
      <c r="JJ108" s="5">
        <f t="shared" si="117"/>
        <v>0</v>
      </c>
      <c r="JK108" s="5">
        <f t="shared" si="117"/>
        <v>0</v>
      </c>
      <c r="JL108" s="5">
        <f t="shared" si="117"/>
        <v>0</v>
      </c>
      <c r="JM108" s="5">
        <f t="shared" si="117"/>
        <v>0</v>
      </c>
      <c r="JN108" s="5">
        <f t="shared" si="117"/>
        <v>0</v>
      </c>
      <c r="JO108" s="5">
        <f t="shared" si="117"/>
        <v>0</v>
      </c>
      <c r="JP108" s="5">
        <f t="shared" si="117"/>
        <v>0</v>
      </c>
      <c r="JQ108" s="5">
        <f t="shared" si="117"/>
        <v>0</v>
      </c>
      <c r="JR108" s="5">
        <f t="shared" si="117"/>
        <v>0</v>
      </c>
      <c r="JS108" s="5">
        <f t="shared" si="117"/>
        <v>0</v>
      </c>
      <c r="JT108" s="5">
        <f t="shared" si="117"/>
        <v>0</v>
      </c>
      <c r="JU108" s="5">
        <f t="shared" si="117"/>
        <v>0</v>
      </c>
      <c r="JV108" s="5">
        <f t="shared" si="117"/>
        <v>0</v>
      </c>
      <c r="JW108" s="5">
        <f t="shared" si="117"/>
        <v>0</v>
      </c>
      <c r="JX108" s="5">
        <f t="shared" si="117"/>
        <v>0</v>
      </c>
      <c r="JY108" s="5">
        <f t="shared" si="117"/>
        <v>0</v>
      </c>
      <c r="JZ108" s="5">
        <f t="shared" si="117"/>
        <v>0</v>
      </c>
      <c r="KA108" s="5">
        <f t="shared" si="117"/>
        <v>0</v>
      </c>
      <c r="KB108" s="5">
        <f t="shared" si="117"/>
        <v>0</v>
      </c>
      <c r="KC108" s="5">
        <f t="shared" si="117"/>
        <v>0</v>
      </c>
      <c r="KD108" s="5">
        <f t="shared" si="117"/>
        <v>0</v>
      </c>
      <c r="KE108" s="5">
        <f t="shared" si="117"/>
        <v>0</v>
      </c>
      <c r="KF108" s="5">
        <f t="shared" si="117"/>
        <v>0</v>
      </c>
      <c r="KG108" s="5">
        <f t="shared" si="117"/>
        <v>0</v>
      </c>
      <c r="KH108" s="5">
        <f t="shared" si="117"/>
        <v>0</v>
      </c>
      <c r="KI108" s="5">
        <f t="shared" si="117"/>
        <v>0</v>
      </c>
      <c r="KJ108" s="5">
        <f t="shared" si="117"/>
        <v>0</v>
      </c>
      <c r="KK108" s="5">
        <f t="shared" si="117"/>
        <v>0</v>
      </c>
      <c r="KL108" s="5">
        <f t="shared" si="117"/>
        <v>0</v>
      </c>
      <c r="KM108" s="5">
        <f t="shared" si="117"/>
        <v>0</v>
      </c>
      <c r="KN108" s="5">
        <f t="shared" si="117"/>
        <v>0</v>
      </c>
      <c r="KO108" s="5">
        <f t="shared" si="117"/>
        <v>0</v>
      </c>
      <c r="KP108" s="5">
        <f t="shared" si="117"/>
        <v>0</v>
      </c>
      <c r="KQ108" s="5">
        <f t="shared" si="117"/>
        <v>0</v>
      </c>
      <c r="KR108" s="5">
        <f t="shared" si="117"/>
        <v>0</v>
      </c>
      <c r="KS108" s="5">
        <f t="shared" si="117"/>
        <v>0</v>
      </c>
      <c r="KT108" s="5">
        <f t="shared" si="117"/>
        <v>0</v>
      </c>
      <c r="KU108" s="5">
        <f t="shared" si="117"/>
        <v>0</v>
      </c>
      <c r="KV108" s="5">
        <f t="shared" si="117"/>
        <v>0</v>
      </c>
      <c r="KW108" s="5">
        <f t="shared" si="117"/>
        <v>0</v>
      </c>
      <c r="KX108" s="5">
        <f t="shared" si="117"/>
        <v>0</v>
      </c>
      <c r="KY108" s="5">
        <f t="shared" si="117"/>
        <v>0</v>
      </c>
      <c r="KZ108" s="5">
        <f t="shared" si="117"/>
        <v>0</v>
      </c>
      <c r="LA108" s="5">
        <f t="shared" si="117"/>
        <v>0</v>
      </c>
      <c r="LB108" s="5">
        <f t="shared" si="117"/>
        <v>0</v>
      </c>
      <c r="LC108" s="5">
        <f t="shared" si="117"/>
        <v>0</v>
      </c>
      <c r="LD108" s="5">
        <f t="shared" si="117"/>
        <v>0</v>
      </c>
      <c r="LE108" s="5">
        <f t="shared" si="117"/>
        <v>0</v>
      </c>
      <c r="LF108" s="5">
        <f t="shared" si="117"/>
        <v>0</v>
      </c>
      <c r="LG108" s="5">
        <f t="shared" si="117"/>
        <v>0</v>
      </c>
      <c r="LH108" s="5">
        <f t="shared" si="117"/>
        <v>0</v>
      </c>
      <c r="LI108" s="5">
        <f t="shared" si="117"/>
        <v>0</v>
      </c>
      <c r="LJ108" s="5">
        <f t="shared" si="117"/>
        <v>0</v>
      </c>
      <c r="LK108" s="5">
        <f t="shared" ref="LK108:NV108" si="118">IF(LK95&lt;=$B$26, MIN($B$106/12, LK104), 0)</f>
        <v>0</v>
      </c>
      <c r="LL108" s="5">
        <f t="shared" si="118"/>
        <v>0</v>
      </c>
      <c r="LM108" s="5">
        <f t="shared" si="118"/>
        <v>0</v>
      </c>
      <c r="LN108" s="5">
        <f t="shared" si="118"/>
        <v>0</v>
      </c>
      <c r="LO108" s="5">
        <f t="shared" si="118"/>
        <v>0</v>
      </c>
      <c r="LP108" s="5">
        <f t="shared" si="118"/>
        <v>0</v>
      </c>
      <c r="LQ108" s="5">
        <f t="shared" si="118"/>
        <v>0</v>
      </c>
      <c r="LR108" s="5">
        <f t="shared" si="118"/>
        <v>0</v>
      </c>
      <c r="LS108" s="5">
        <f t="shared" si="118"/>
        <v>0</v>
      </c>
      <c r="LT108" s="5">
        <f t="shared" si="118"/>
        <v>0</v>
      </c>
      <c r="LU108" s="5">
        <f t="shared" si="118"/>
        <v>0</v>
      </c>
      <c r="LV108" s="5">
        <f t="shared" si="118"/>
        <v>0</v>
      </c>
      <c r="LW108" s="5">
        <f t="shared" si="118"/>
        <v>0</v>
      </c>
      <c r="LX108" s="5">
        <f t="shared" si="118"/>
        <v>0</v>
      </c>
      <c r="LY108" s="5">
        <f t="shared" si="118"/>
        <v>0</v>
      </c>
      <c r="LZ108" s="5">
        <f t="shared" si="118"/>
        <v>0</v>
      </c>
      <c r="MA108" s="5">
        <f t="shared" si="118"/>
        <v>0</v>
      </c>
      <c r="MB108" s="5">
        <f t="shared" si="118"/>
        <v>0</v>
      </c>
      <c r="MC108" s="5">
        <f t="shared" si="118"/>
        <v>0</v>
      </c>
      <c r="MD108" s="5">
        <f t="shared" si="118"/>
        <v>0</v>
      </c>
      <c r="ME108" s="5">
        <f t="shared" si="118"/>
        <v>0</v>
      </c>
      <c r="MF108" s="5">
        <f t="shared" si="118"/>
        <v>0</v>
      </c>
      <c r="MG108" s="5">
        <f t="shared" si="118"/>
        <v>0</v>
      </c>
      <c r="MH108" s="5">
        <f t="shared" si="118"/>
        <v>0</v>
      </c>
      <c r="MI108" s="5">
        <f t="shared" si="118"/>
        <v>0</v>
      </c>
      <c r="MJ108" s="5">
        <f t="shared" si="118"/>
        <v>0</v>
      </c>
      <c r="MK108" s="5">
        <f t="shared" si="118"/>
        <v>0</v>
      </c>
      <c r="ML108" s="5">
        <f t="shared" si="118"/>
        <v>0</v>
      </c>
      <c r="MM108" s="5">
        <f t="shared" si="118"/>
        <v>0</v>
      </c>
      <c r="MN108" s="5">
        <f t="shared" si="118"/>
        <v>0</v>
      </c>
      <c r="MO108" s="5">
        <f t="shared" si="118"/>
        <v>0</v>
      </c>
      <c r="MP108" s="5">
        <f t="shared" si="118"/>
        <v>0</v>
      </c>
      <c r="MQ108" s="5">
        <f t="shared" si="118"/>
        <v>0</v>
      </c>
      <c r="MR108" s="5">
        <f t="shared" si="118"/>
        <v>0</v>
      </c>
      <c r="MS108" s="5">
        <f t="shared" si="118"/>
        <v>0</v>
      </c>
      <c r="MT108" s="5">
        <f t="shared" si="118"/>
        <v>0</v>
      </c>
      <c r="MU108" s="5">
        <f t="shared" si="118"/>
        <v>0</v>
      </c>
      <c r="MV108" s="5">
        <f t="shared" si="118"/>
        <v>0</v>
      </c>
      <c r="MW108" s="5">
        <f t="shared" si="118"/>
        <v>0</v>
      </c>
      <c r="MX108" s="5">
        <f t="shared" si="118"/>
        <v>0</v>
      </c>
      <c r="MY108" s="5">
        <f t="shared" si="118"/>
        <v>0</v>
      </c>
      <c r="MZ108" s="5">
        <f t="shared" si="118"/>
        <v>0</v>
      </c>
      <c r="NA108" s="5">
        <f t="shared" si="118"/>
        <v>0</v>
      </c>
      <c r="NB108" s="5">
        <f t="shared" si="118"/>
        <v>0</v>
      </c>
      <c r="NC108" s="5">
        <f t="shared" si="118"/>
        <v>0</v>
      </c>
      <c r="ND108" s="5">
        <f t="shared" si="118"/>
        <v>0</v>
      </c>
      <c r="NE108" s="5">
        <f t="shared" si="118"/>
        <v>0</v>
      </c>
      <c r="NF108" s="5">
        <f t="shared" si="118"/>
        <v>0</v>
      </c>
      <c r="NG108" s="5">
        <f t="shared" si="118"/>
        <v>0</v>
      </c>
      <c r="NH108" s="5">
        <f t="shared" si="118"/>
        <v>0</v>
      </c>
      <c r="NI108" s="5">
        <f t="shared" si="118"/>
        <v>0</v>
      </c>
      <c r="NJ108" s="5">
        <f t="shared" si="118"/>
        <v>0</v>
      </c>
      <c r="NK108" s="5">
        <f t="shared" si="118"/>
        <v>0</v>
      </c>
      <c r="NL108" s="5">
        <f t="shared" si="118"/>
        <v>0</v>
      </c>
      <c r="NM108" s="5">
        <f t="shared" si="118"/>
        <v>0</v>
      </c>
      <c r="NN108" s="5">
        <f t="shared" si="118"/>
        <v>0</v>
      </c>
      <c r="NO108" s="5">
        <f t="shared" si="118"/>
        <v>0</v>
      </c>
      <c r="NP108" s="5">
        <f t="shared" si="118"/>
        <v>0</v>
      </c>
      <c r="NQ108" s="5">
        <f t="shared" si="118"/>
        <v>0</v>
      </c>
      <c r="NR108" s="5">
        <f t="shared" si="118"/>
        <v>0</v>
      </c>
      <c r="NS108" s="5">
        <f t="shared" si="118"/>
        <v>0</v>
      </c>
      <c r="NT108" s="5">
        <f t="shared" si="118"/>
        <v>0</v>
      </c>
      <c r="NU108" s="5">
        <f t="shared" si="118"/>
        <v>0</v>
      </c>
      <c r="NV108" s="5">
        <f t="shared" si="118"/>
        <v>0</v>
      </c>
      <c r="NW108" s="5">
        <f t="shared" ref="NW108:PF108" si="119">IF(NW95&lt;=$B$26, MIN($B$106/12, NW104), 0)</f>
        <v>0</v>
      </c>
      <c r="NX108" s="5">
        <f t="shared" si="119"/>
        <v>0</v>
      </c>
      <c r="NY108" s="5">
        <f t="shared" si="119"/>
        <v>0</v>
      </c>
      <c r="NZ108" s="5">
        <f t="shared" si="119"/>
        <v>0</v>
      </c>
      <c r="OA108" s="5">
        <f t="shared" si="119"/>
        <v>0</v>
      </c>
      <c r="OB108" s="5">
        <f t="shared" si="119"/>
        <v>0</v>
      </c>
      <c r="OC108" s="5">
        <f t="shared" si="119"/>
        <v>0</v>
      </c>
      <c r="OD108" s="5">
        <f t="shared" si="119"/>
        <v>0</v>
      </c>
      <c r="OE108" s="5">
        <f t="shared" si="119"/>
        <v>0</v>
      </c>
      <c r="OF108" s="5">
        <f t="shared" si="119"/>
        <v>0</v>
      </c>
      <c r="OG108" s="5">
        <f t="shared" si="119"/>
        <v>0</v>
      </c>
      <c r="OH108" s="5">
        <f t="shared" si="119"/>
        <v>0</v>
      </c>
      <c r="OI108" s="5">
        <f t="shared" si="119"/>
        <v>0</v>
      </c>
      <c r="OJ108" s="5">
        <f t="shared" si="119"/>
        <v>0</v>
      </c>
      <c r="OK108" s="5">
        <f t="shared" si="119"/>
        <v>0</v>
      </c>
      <c r="OL108" s="5">
        <f t="shared" si="119"/>
        <v>0</v>
      </c>
      <c r="OM108" s="5">
        <f t="shared" si="119"/>
        <v>0</v>
      </c>
      <c r="ON108" s="5">
        <f t="shared" si="119"/>
        <v>0</v>
      </c>
      <c r="OO108" s="5">
        <f t="shared" si="119"/>
        <v>0</v>
      </c>
      <c r="OP108" s="5">
        <f t="shared" si="119"/>
        <v>0</v>
      </c>
      <c r="OQ108" s="5">
        <f t="shared" si="119"/>
        <v>0</v>
      </c>
      <c r="OR108" s="5">
        <f t="shared" si="119"/>
        <v>0</v>
      </c>
      <c r="OS108" s="5">
        <f t="shared" si="119"/>
        <v>0</v>
      </c>
      <c r="OT108" s="5">
        <f t="shared" si="119"/>
        <v>0</v>
      </c>
      <c r="OU108" s="5">
        <f t="shared" si="119"/>
        <v>0</v>
      </c>
      <c r="OV108" s="5">
        <f t="shared" si="119"/>
        <v>0</v>
      </c>
      <c r="OW108" s="5">
        <f t="shared" si="119"/>
        <v>0</v>
      </c>
      <c r="OX108" s="5">
        <f t="shared" si="119"/>
        <v>0</v>
      </c>
      <c r="OY108" s="5">
        <f t="shared" si="119"/>
        <v>0</v>
      </c>
      <c r="OZ108" s="5">
        <f t="shared" si="119"/>
        <v>0</v>
      </c>
      <c r="PA108" s="5">
        <f t="shared" si="119"/>
        <v>0</v>
      </c>
      <c r="PB108" s="5">
        <f t="shared" si="119"/>
        <v>0</v>
      </c>
      <c r="PC108" s="5">
        <f t="shared" si="119"/>
        <v>0</v>
      </c>
      <c r="PD108" s="5">
        <f t="shared" si="119"/>
        <v>0</v>
      </c>
      <c r="PE108" s="5">
        <f t="shared" si="119"/>
        <v>0</v>
      </c>
      <c r="PF108" s="5">
        <f t="shared" si="119"/>
        <v>0</v>
      </c>
    </row>
    <row r="109" spans="1:422" hidden="1">
      <c r="A109" s="6" t="s">
        <v>41</v>
      </c>
      <c r="C109" s="18">
        <f t="shared" ref="C109:BN109" si="120">IF(C95&lt;=$B$26, MIN($B$107/12, C103), 0)</f>
        <v>16666.666666666668</v>
      </c>
      <c r="D109" s="5">
        <f t="shared" si="120"/>
        <v>16666.666666666668</v>
      </c>
      <c r="E109" s="5">
        <f t="shared" si="120"/>
        <v>16666.666666666668</v>
      </c>
      <c r="F109" s="5">
        <f t="shared" si="120"/>
        <v>16666.666666666668</v>
      </c>
      <c r="G109" s="5">
        <f t="shared" si="120"/>
        <v>16666.666666666668</v>
      </c>
      <c r="H109" s="5">
        <f t="shared" si="120"/>
        <v>16666.666666666668</v>
      </c>
      <c r="I109" s="5">
        <f t="shared" si="120"/>
        <v>16666.666666666668</v>
      </c>
      <c r="J109" s="5">
        <f t="shared" si="120"/>
        <v>16666.666666666668</v>
      </c>
      <c r="K109" s="5">
        <f t="shared" si="120"/>
        <v>16666.666666666668</v>
      </c>
      <c r="L109" s="5">
        <f t="shared" si="120"/>
        <v>16666.666666666668</v>
      </c>
      <c r="M109" s="5">
        <f t="shared" si="120"/>
        <v>16666.666666666668</v>
      </c>
      <c r="N109" s="5">
        <f t="shared" si="120"/>
        <v>16666.666666666668</v>
      </c>
      <c r="O109" s="5">
        <f t="shared" si="120"/>
        <v>16666.666666666668</v>
      </c>
      <c r="P109" s="5">
        <f t="shared" si="120"/>
        <v>16666.666666666668</v>
      </c>
      <c r="Q109" s="5">
        <f t="shared" si="120"/>
        <v>16666.666666666668</v>
      </c>
      <c r="R109" s="5">
        <f t="shared" si="120"/>
        <v>16666.666666666668</v>
      </c>
      <c r="S109" s="5">
        <f t="shared" si="120"/>
        <v>16666.666666666668</v>
      </c>
      <c r="T109" s="5">
        <f t="shared" si="120"/>
        <v>16666.666666666668</v>
      </c>
      <c r="U109" s="5">
        <f t="shared" si="120"/>
        <v>16666.666666666668</v>
      </c>
      <c r="V109" s="5">
        <f t="shared" si="120"/>
        <v>16666.666666666668</v>
      </c>
      <c r="W109" s="5">
        <f t="shared" si="120"/>
        <v>16666.666666666668</v>
      </c>
      <c r="X109" s="5">
        <f t="shared" si="120"/>
        <v>16666.666666666668</v>
      </c>
      <c r="Y109" s="5">
        <f t="shared" si="120"/>
        <v>16666.666666666668</v>
      </c>
      <c r="Z109" s="5">
        <f t="shared" si="120"/>
        <v>16666.666666666668</v>
      </c>
      <c r="AA109" s="5">
        <f t="shared" si="120"/>
        <v>16666.666666666668</v>
      </c>
      <c r="AB109" s="5">
        <f t="shared" si="120"/>
        <v>16666.666666666668</v>
      </c>
      <c r="AC109" s="5">
        <f t="shared" si="120"/>
        <v>16666.666666666668</v>
      </c>
      <c r="AD109" s="5">
        <f t="shared" si="120"/>
        <v>16666.666666666668</v>
      </c>
      <c r="AE109" s="5">
        <f t="shared" si="120"/>
        <v>16666.666666666668</v>
      </c>
      <c r="AF109" s="5">
        <f t="shared" si="120"/>
        <v>16666.666666666668</v>
      </c>
      <c r="AG109" s="5">
        <f t="shared" si="120"/>
        <v>16666.666666666668</v>
      </c>
      <c r="AH109" s="5">
        <f t="shared" si="120"/>
        <v>16666.666666666668</v>
      </c>
      <c r="AI109" s="5">
        <f t="shared" si="120"/>
        <v>16666.666666666668</v>
      </c>
      <c r="AJ109" s="5">
        <f t="shared" si="120"/>
        <v>16666.666666666668</v>
      </c>
      <c r="AK109" s="5">
        <f t="shared" si="120"/>
        <v>16666.666666666668</v>
      </c>
      <c r="AL109" s="5">
        <f t="shared" si="120"/>
        <v>16666.666666666668</v>
      </c>
      <c r="AM109" s="5">
        <f t="shared" si="120"/>
        <v>16666.666666666668</v>
      </c>
      <c r="AN109" s="5">
        <f t="shared" si="120"/>
        <v>16666.666666666668</v>
      </c>
      <c r="AO109" s="5">
        <f t="shared" si="120"/>
        <v>16666.666666666668</v>
      </c>
      <c r="AP109" s="5">
        <f t="shared" si="120"/>
        <v>16666.666666666668</v>
      </c>
      <c r="AQ109" s="5">
        <f t="shared" si="120"/>
        <v>16666.666666666668</v>
      </c>
      <c r="AR109" s="5">
        <f t="shared" si="120"/>
        <v>16666.666666666668</v>
      </c>
      <c r="AS109" s="5">
        <f t="shared" si="120"/>
        <v>16666.666666666668</v>
      </c>
      <c r="AT109" s="5">
        <f t="shared" si="120"/>
        <v>16666.666666666668</v>
      </c>
      <c r="AU109" s="5">
        <f t="shared" si="120"/>
        <v>16666.666666666668</v>
      </c>
      <c r="AV109" s="5">
        <f t="shared" si="120"/>
        <v>16666.666666666668</v>
      </c>
      <c r="AW109" s="5">
        <f t="shared" si="120"/>
        <v>16666.666666666668</v>
      </c>
      <c r="AX109" s="5">
        <f t="shared" si="120"/>
        <v>16666.666666666668</v>
      </c>
      <c r="AY109" s="5">
        <f t="shared" si="120"/>
        <v>16666.666666666668</v>
      </c>
      <c r="AZ109" s="5">
        <f t="shared" si="120"/>
        <v>16666.666666666668</v>
      </c>
      <c r="BA109" s="5">
        <f t="shared" si="120"/>
        <v>16666.666666666668</v>
      </c>
      <c r="BB109" s="5">
        <f t="shared" si="120"/>
        <v>16666.666666666668</v>
      </c>
      <c r="BC109" s="5">
        <f t="shared" si="120"/>
        <v>16666.666666666668</v>
      </c>
      <c r="BD109" s="5">
        <f t="shared" si="120"/>
        <v>16666.666666666668</v>
      </c>
      <c r="BE109" s="5">
        <f t="shared" si="120"/>
        <v>16666.666666666668</v>
      </c>
      <c r="BF109" s="5">
        <f t="shared" si="120"/>
        <v>16666.666666666668</v>
      </c>
      <c r="BG109" s="5">
        <f t="shared" si="120"/>
        <v>16666.666666666668</v>
      </c>
      <c r="BH109" s="5">
        <f t="shared" si="120"/>
        <v>16666.666666666668</v>
      </c>
      <c r="BI109" s="5">
        <f t="shared" si="120"/>
        <v>16666.666666666668</v>
      </c>
      <c r="BJ109" s="5">
        <f t="shared" si="120"/>
        <v>16666.666666666668</v>
      </c>
      <c r="BK109" s="5">
        <f t="shared" si="120"/>
        <v>16666.666666666668</v>
      </c>
      <c r="BL109" s="5">
        <f t="shared" si="120"/>
        <v>16666.666666666668</v>
      </c>
      <c r="BM109" s="5">
        <f t="shared" si="120"/>
        <v>16666.666666666668</v>
      </c>
      <c r="BN109" s="5">
        <f t="shared" si="120"/>
        <v>16666.666666666668</v>
      </c>
      <c r="BO109" s="5">
        <f t="shared" ref="BO109:DZ109" si="121">IF(BO95&lt;=$B$26, MIN($B$107/12, BO103), 0)</f>
        <v>16666.666666666668</v>
      </c>
      <c r="BP109" s="5">
        <f t="shared" si="121"/>
        <v>16666.666666666668</v>
      </c>
      <c r="BQ109" s="5">
        <f t="shared" si="121"/>
        <v>16666.666666666668</v>
      </c>
      <c r="BR109" s="5">
        <f t="shared" si="121"/>
        <v>16666.666666666668</v>
      </c>
      <c r="BS109" s="5">
        <f t="shared" si="121"/>
        <v>16666.666666666668</v>
      </c>
      <c r="BT109" s="5">
        <f t="shared" si="121"/>
        <v>16666.666666666668</v>
      </c>
      <c r="BU109" s="5">
        <f t="shared" si="121"/>
        <v>16666.666666666668</v>
      </c>
      <c r="BV109" s="5">
        <f t="shared" si="121"/>
        <v>16666.666666666668</v>
      </c>
      <c r="BW109" s="5">
        <f t="shared" si="121"/>
        <v>16666.666666666668</v>
      </c>
      <c r="BX109" s="5">
        <f t="shared" si="121"/>
        <v>16666.666666666668</v>
      </c>
      <c r="BY109" s="5">
        <f t="shared" si="121"/>
        <v>16666.666666666668</v>
      </c>
      <c r="BZ109" s="5">
        <f t="shared" si="121"/>
        <v>16666.666666666668</v>
      </c>
      <c r="CA109" s="5">
        <f t="shared" si="121"/>
        <v>16666.666666666668</v>
      </c>
      <c r="CB109" s="5">
        <f t="shared" si="121"/>
        <v>16666.666666666668</v>
      </c>
      <c r="CC109" s="5">
        <f t="shared" si="121"/>
        <v>16666.666666666668</v>
      </c>
      <c r="CD109" s="5">
        <f t="shared" si="121"/>
        <v>16666.666666666668</v>
      </c>
      <c r="CE109" s="5">
        <f t="shared" si="121"/>
        <v>16666.666666666668</v>
      </c>
      <c r="CF109" s="5">
        <f t="shared" si="121"/>
        <v>16666.666666666668</v>
      </c>
      <c r="CG109" s="5">
        <f t="shared" si="121"/>
        <v>16666.666666666668</v>
      </c>
      <c r="CH109" s="5">
        <f t="shared" si="121"/>
        <v>16666.666666666668</v>
      </c>
      <c r="CI109" s="5">
        <f t="shared" si="121"/>
        <v>16666.666666666668</v>
      </c>
      <c r="CJ109" s="5">
        <f t="shared" si="121"/>
        <v>16666.666666666668</v>
      </c>
      <c r="CK109" s="5">
        <f t="shared" si="121"/>
        <v>16666.666666666668</v>
      </c>
      <c r="CL109" s="5">
        <f t="shared" si="121"/>
        <v>16666.666666666668</v>
      </c>
      <c r="CM109" s="5">
        <f t="shared" si="121"/>
        <v>16666.666666666668</v>
      </c>
      <c r="CN109" s="5">
        <f t="shared" si="121"/>
        <v>16666.666666666668</v>
      </c>
      <c r="CO109" s="5">
        <f t="shared" si="121"/>
        <v>16666.666666666668</v>
      </c>
      <c r="CP109" s="5">
        <f t="shared" si="121"/>
        <v>16666.666666666668</v>
      </c>
      <c r="CQ109" s="5">
        <f t="shared" si="121"/>
        <v>16666.666666666668</v>
      </c>
      <c r="CR109" s="5">
        <f t="shared" si="121"/>
        <v>16666.666666666668</v>
      </c>
      <c r="CS109" s="5">
        <f t="shared" si="121"/>
        <v>16666.666666666668</v>
      </c>
      <c r="CT109" s="5">
        <f t="shared" si="121"/>
        <v>16666.666666666668</v>
      </c>
      <c r="CU109" s="5">
        <f t="shared" si="121"/>
        <v>16666.666666666668</v>
      </c>
      <c r="CV109" s="5">
        <f t="shared" si="121"/>
        <v>16666.666666666668</v>
      </c>
      <c r="CW109" s="5">
        <f t="shared" si="121"/>
        <v>16666.666666666668</v>
      </c>
      <c r="CX109" s="5">
        <f t="shared" si="121"/>
        <v>16666.666666666668</v>
      </c>
      <c r="CY109" s="5">
        <f t="shared" si="121"/>
        <v>16666.666666666668</v>
      </c>
      <c r="CZ109" s="5">
        <f t="shared" si="121"/>
        <v>16666.666666666668</v>
      </c>
      <c r="DA109" s="5">
        <f t="shared" si="121"/>
        <v>16666.666666666668</v>
      </c>
      <c r="DB109" s="5">
        <f t="shared" si="121"/>
        <v>16666.666666666668</v>
      </c>
      <c r="DC109" s="5">
        <f t="shared" si="121"/>
        <v>16666.666666666668</v>
      </c>
      <c r="DD109" s="5">
        <f t="shared" si="121"/>
        <v>16666.666666666668</v>
      </c>
      <c r="DE109" s="5">
        <f t="shared" si="121"/>
        <v>16666.666666666668</v>
      </c>
      <c r="DF109" s="5">
        <f t="shared" si="121"/>
        <v>16666.666666666668</v>
      </c>
      <c r="DG109" s="5">
        <f t="shared" si="121"/>
        <v>16666.666666666668</v>
      </c>
      <c r="DH109" s="5">
        <f t="shared" si="121"/>
        <v>16666.666666666668</v>
      </c>
      <c r="DI109" s="5">
        <f t="shared" si="121"/>
        <v>16666.666666666668</v>
      </c>
      <c r="DJ109" s="5">
        <f t="shared" si="121"/>
        <v>16666.666666666668</v>
      </c>
      <c r="DK109" s="5">
        <f t="shared" si="121"/>
        <v>16666.666666666668</v>
      </c>
      <c r="DL109" s="5">
        <f t="shared" si="121"/>
        <v>16666.666666666668</v>
      </c>
      <c r="DM109" s="5">
        <f t="shared" si="121"/>
        <v>16666.666666666668</v>
      </c>
      <c r="DN109" s="5">
        <f t="shared" si="121"/>
        <v>16666.666666666668</v>
      </c>
      <c r="DO109" s="5">
        <f t="shared" si="121"/>
        <v>16666.666666666668</v>
      </c>
      <c r="DP109" s="5">
        <f t="shared" si="121"/>
        <v>16666.666666666668</v>
      </c>
      <c r="DQ109" s="5">
        <f t="shared" si="121"/>
        <v>16666.666666666668</v>
      </c>
      <c r="DR109" s="5">
        <f t="shared" si="121"/>
        <v>16666.666666666668</v>
      </c>
      <c r="DS109" s="5">
        <f t="shared" si="121"/>
        <v>16666.666666666668</v>
      </c>
      <c r="DT109" s="5">
        <f t="shared" si="121"/>
        <v>16666.666666666668</v>
      </c>
      <c r="DU109" s="5">
        <f t="shared" si="121"/>
        <v>16666.666666666668</v>
      </c>
      <c r="DV109" s="5">
        <f t="shared" si="121"/>
        <v>16666.666666666668</v>
      </c>
      <c r="DW109" s="5">
        <f t="shared" si="121"/>
        <v>16666.666666666668</v>
      </c>
      <c r="DX109" s="5">
        <f t="shared" si="121"/>
        <v>16666.666666666668</v>
      </c>
      <c r="DY109" s="5">
        <f t="shared" si="121"/>
        <v>16666.666666666668</v>
      </c>
      <c r="DZ109" s="5">
        <f t="shared" si="121"/>
        <v>16666.666666666668</v>
      </c>
      <c r="EA109" s="5">
        <f t="shared" ref="EA109:GL109" si="122">IF(EA95&lt;=$B$26, MIN($B$107/12, EA103), 0)</f>
        <v>16666.666666666668</v>
      </c>
      <c r="EB109" s="5">
        <f t="shared" si="122"/>
        <v>16666.666666666668</v>
      </c>
      <c r="EC109" s="5">
        <f t="shared" si="122"/>
        <v>16666.666666666668</v>
      </c>
      <c r="ED109" s="5">
        <f t="shared" si="122"/>
        <v>16666.666666666668</v>
      </c>
      <c r="EE109" s="5">
        <f t="shared" si="122"/>
        <v>16666.666666666668</v>
      </c>
      <c r="EF109" s="5">
        <f t="shared" si="122"/>
        <v>16666.666666666668</v>
      </c>
      <c r="EG109" s="5">
        <f t="shared" si="122"/>
        <v>16666.666666666668</v>
      </c>
      <c r="EH109" s="5">
        <f t="shared" si="122"/>
        <v>16666.666666666668</v>
      </c>
      <c r="EI109" s="5">
        <f t="shared" si="122"/>
        <v>16666.666666666668</v>
      </c>
      <c r="EJ109" s="5">
        <f t="shared" si="122"/>
        <v>16666.666666666668</v>
      </c>
      <c r="EK109" s="5">
        <f t="shared" si="122"/>
        <v>16666.666666666668</v>
      </c>
      <c r="EL109" s="5">
        <f t="shared" si="122"/>
        <v>16666.666666666668</v>
      </c>
      <c r="EM109" s="5">
        <f t="shared" si="122"/>
        <v>16666.666666666668</v>
      </c>
      <c r="EN109" s="5">
        <f t="shared" si="122"/>
        <v>16666.666666666668</v>
      </c>
      <c r="EO109" s="5">
        <f t="shared" si="122"/>
        <v>16666.666666666668</v>
      </c>
      <c r="EP109" s="5">
        <f t="shared" si="122"/>
        <v>16666.666666666668</v>
      </c>
      <c r="EQ109" s="5">
        <f t="shared" si="122"/>
        <v>16666.666666666668</v>
      </c>
      <c r="ER109" s="5">
        <f t="shared" si="122"/>
        <v>16666.666666666668</v>
      </c>
      <c r="ES109" s="5">
        <f t="shared" si="122"/>
        <v>16666.666666666668</v>
      </c>
      <c r="ET109" s="5">
        <f t="shared" si="122"/>
        <v>16666.666666666668</v>
      </c>
      <c r="EU109" s="5">
        <f t="shared" si="122"/>
        <v>16666.666666666668</v>
      </c>
      <c r="EV109" s="5">
        <f t="shared" si="122"/>
        <v>16666.666666666668</v>
      </c>
      <c r="EW109" s="5">
        <f t="shared" si="122"/>
        <v>16666.666666666668</v>
      </c>
      <c r="EX109" s="5">
        <f t="shared" si="122"/>
        <v>16666.666666666668</v>
      </c>
      <c r="EY109" s="5">
        <f t="shared" si="122"/>
        <v>16666.666666666668</v>
      </c>
      <c r="EZ109" s="5">
        <f t="shared" si="122"/>
        <v>16666.666666666668</v>
      </c>
      <c r="FA109" s="5">
        <f t="shared" si="122"/>
        <v>16666.666666666668</v>
      </c>
      <c r="FB109" s="5">
        <f t="shared" si="122"/>
        <v>16666.666666666668</v>
      </c>
      <c r="FC109" s="5">
        <f t="shared" si="122"/>
        <v>16666.666666666668</v>
      </c>
      <c r="FD109" s="5">
        <f t="shared" si="122"/>
        <v>16666.666666666668</v>
      </c>
      <c r="FE109" s="5">
        <f t="shared" si="122"/>
        <v>16666.666666666668</v>
      </c>
      <c r="FF109" s="5">
        <f t="shared" si="122"/>
        <v>16666.666666666668</v>
      </c>
      <c r="FG109" s="5">
        <f t="shared" si="122"/>
        <v>16666.666666666668</v>
      </c>
      <c r="FH109" s="5">
        <f t="shared" si="122"/>
        <v>16666.666666666668</v>
      </c>
      <c r="FI109" s="5">
        <f t="shared" si="122"/>
        <v>16666.666666666668</v>
      </c>
      <c r="FJ109" s="5">
        <f t="shared" si="122"/>
        <v>16666.666666666668</v>
      </c>
      <c r="FK109" s="5">
        <f t="shared" si="122"/>
        <v>16666.666666666668</v>
      </c>
      <c r="FL109" s="5">
        <f t="shared" si="122"/>
        <v>16666.666666666668</v>
      </c>
      <c r="FM109" s="5">
        <f t="shared" si="122"/>
        <v>16666.666666666668</v>
      </c>
      <c r="FN109" s="5">
        <f t="shared" si="122"/>
        <v>16666.666666666668</v>
      </c>
      <c r="FO109" s="5">
        <f t="shared" si="122"/>
        <v>16666.666666666668</v>
      </c>
      <c r="FP109" s="5">
        <f t="shared" si="122"/>
        <v>16666.666666666668</v>
      </c>
      <c r="FQ109" s="5">
        <f t="shared" si="122"/>
        <v>16666.666666666668</v>
      </c>
      <c r="FR109" s="5">
        <f t="shared" si="122"/>
        <v>16666.666666666668</v>
      </c>
      <c r="FS109" s="5">
        <f t="shared" si="122"/>
        <v>16666.666666666668</v>
      </c>
      <c r="FT109" s="5">
        <f t="shared" si="122"/>
        <v>16666.666666666668</v>
      </c>
      <c r="FU109" s="5">
        <f t="shared" si="122"/>
        <v>16666.666666666668</v>
      </c>
      <c r="FV109" s="5">
        <f t="shared" si="122"/>
        <v>16666.666666666668</v>
      </c>
      <c r="FW109" s="5">
        <f t="shared" si="122"/>
        <v>16666.666666666668</v>
      </c>
      <c r="FX109" s="5">
        <f t="shared" si="122"/>
        <v>16666.666666666668</v>
      </c>
      <c r="FY109" s="5">
        <f t="shared" si="122"/>
        <v>16666.666666666668</v>
      </c>
      <c r="FZ109" s="5">
        <f t="shared" si="122"/>
        <v>16666.666666666668</v>
      </c>
      <c r="GA109" s="5">
        <f t="shared" si="122"/>
        <v>16666.666666666668</v>
      </c>
      <c r="GB109" s="5">
        <f t="shared" si="122"/>
        <v>16666.666666666668</v>
      </c>
      <c r="GC109" s="5">
        <f t="shared" si="122"/>
        <v>16666.666666666668</v>
      </c>
      <c r="GD109" s="5">
        <f t="shared" si="122"/>
        <v>16666.666666666668</v>
      </c>
      <c r="GE109" s="5">
        <f t="shared" si="122"/>
        <v>16666.666666666668</v>
      </c>
      <c r="GF109" s="5">
        <f t="shared" si="122"/>
        <v>16666.666666666668</v>
      </c>
      <c r="GG109" s="5">
        <f t="shared" si="122"/>
        <v>16666.666666666668</v>
      </c>
      <c r="GH109" s="5">
        <f t="shared" si="122"/>
        <v>16666.666666666668</v>
      </c>
      <c r="GI109" s="5">
        <f t="shared" si="122"/>
        <v>16666.666666666668</v>
      </c>
      <c r="GJ109" s="5">
        <f t="shared" si="122"/>
        <v>16666.666666666668</v>
      </c>
      <c r="GK109" s="5">
        <f t="shared" si="122"/>
        <v>16666.666666666668</v>
      </c>
      <c r="GL109" s="5">
        <f t="shared" si="122"/>
        <v>16666.666666666668</v>
      </c>
      <c r="GM109" s="5">
        <f t="shared" ref="GM109:IX109" si="123">IF(GM95&lt;=$B$26, MIN($B$107/12, GM103), 0)</f>
        <v>16666.666666666668</v>
      </c>
      <c r="GN109" s="5">
        <f t="shared" si="123"/>
        <v>16666.666666666668</v>
      </c>
      <c r="GO109" s="5">
        <f t="shared" si="123"/>
        <v>16666.666666666668</v>
      </c>
      <c r="GP109" s="5">
        <f t="shared" si="123"/>
        <v>16666.666666666668</v>
      </c>
      <c r="GQ109" s="5">
        <f t="shared" si="123"/>
        <v>16666.666666666668</v>
      </c>
      <c r="GR109" s="5">
        <f t="shared" si="123"/>
        <v>16666.666666666668</v>
      </c>
      <c r="GS109" s="5">
        <f t="shared" si="123"/>
        <v>16666.666666666668</v>
      </c>
      <c r="GT109" s="5">
        <f t="shared" si="123"/>
        <v>16666.666666666668</v>
      </c>
      <c r="GU109" s="5">
        <f t="shared" si="123"/>
        <v>16666.666666666668</v>
      </c>
      <c r="GV109" s="5">
        <f t="shared" si="123"/>
        <v>16666.666666666668</v>
      </c>
      <c r="GW109" s="5">
        <f t="shared" si="123"/>
        <v>16666.666666666668</v>
      </c>
      <c r="GX109" s="5">
        <f t="shared" si="123"/>
        <v>16666.666666666668</v>
      </c>
      <c r="GY109" s="5">
        <f t="shared" si="123"/>
        <v>16666.666666666668</v>
      </c>
      <c r="GZ109" s="5">
        <f t="shared" si="123"/>
        <v>16666.666666666668</v>
      </c>
      <c r="HA109" s="5">
        <f t="shared" si="123"/>
        <v>16666.666666666668</v>
      </c>
      <c r="HB109" s="5">
        <f t="shared" si="123"/>
        <v>16666.666666666668</v>
      </c>
      <c r="HC109" s="5">
        <f t="shared" si="123"/>
        <v>16666.666666666668</v>
      </c>
      <c r="HD109" s="5">
        <f t="shared" si="123"/>
        <v>16666.666666666668</v>
      </c>
      <c r="HE109" s="5">
        <f t="shared" si="123"/>
        <v>16666.666666666668</v>
      </c>
      <c r="HF109" s="5">
        <f t="shared" si="123"/>
        <v>16666.666666666668</v>
      </c>
      <c r="HG109" s="5">
        <f t="shared" si="123"/>
        <v>16666.666666666668</v>
      </c>
      <c r="HH109" s="5">
        <f t="shared" si="123"/>
        <v>16666.666666666668</v>
      </c>
      <c r="HI109" s="5">
        <f t="shared" si="123"/>
        <v>16666.666666666668</v>
      </c>
      <c r="HJ109" s="5">
        <f t="shared" si="123"/>
        <v>16666.666666666668</v>
      </c>
      <c r="HK109" s="5">
        <f t="shared" si="123"/>
        <v>16240.576342919543</v>
      </c>
      <c r="HL109" s="5">
        <f t="shared" si="123"/>
        <v>15632.510138320529</v>
      </c>
      <c r="HM109" s="5">
        <f t="shared" si="123"/>
        <v>15018.869993512693</v>
      </c>
      <c r="HN109" s="5">
        <f t="shared" si="123"/>
        <v>14399.604814044118</v>
      </c>
      <c r="HO109" s="5">
        <f t="shared" si="123"/>
        <v>13774.66303709708</v>
      </c>
      <c r="HP109" s="5">
        <f t="shared" si="123"/>
        <v>13143.992627194695</v>
      </c>
      <c r="HQ109" s="5">
        <f t="shared" si="123"/>
        <v>12507.541071868205</v>
      </c>
      <c r="HR109" s="5">
        <f t="shared" si="123"/>
        <v>11865.255377284555</v>
      </c>
      <c r="HS109" s="5">
        <f t="shared" si="123"/>
        <v>11217.082063833888</v>
      </c>
      <c r="HT109" s="5">
        <f t="shared" si="123"/>
        <v>10562.96716167659</v>
      </c>
      <c r="HU109" s="5">
        <f t="shared" si="123"/>
        <v>9902.8562062495166</v>
      </c>
      <c r="HV109" s="5">
        <f t="shared" si="123"/>
        <v>9236.6942337310284</v>
      </c>
      <c r="HW109" s="5">
        <f t="shared" si="123"/>
        <v>8564.4257764644535</v>
      </c>
      <c r="HX109" s="5">
        <f t="shared" si="123"/>
        <v>7885.9948583396035</v>
      </c>
      <c r="HY109" s="5">
        <f t="shared" si="123"/>
        <v>7201.3449901319418</v>
      </c>
      <c r="HZ109" s="5">
        <f t="shared" si="123"/>
        <v>6510.4191647990428</v>
      </c>
      <c r="IA109" s="5">
        <f t="shared" si="123"/>
        <v>5813.1598527339247</v>
      </c>
      <c r="IB109" s="5">
        <f t="shared" si="123"/>
        <v>5109.5089969748778</v>
      </c>
      <c r="IC109" s="5">
        <f t="shared" si="123"/>
        <v>4399.4080083713725</v>
      </c>
      <c r="ID109" s="5">
        <f t="shared" si="123"/>
        <v>3682.7977607056687</v>
      </c>
      <c r="IE109" s="5">
        <f t="shared" si="123"/>
        <v>2959.6185857696955</v>
      </c>
      <c r="IF109" s="5">
        <f t="shared" si="123"/>
        <v>2229.8102683968095</v>
      </c>
      <c r="IG109" s="5">
        <f t="shared" si="123"/>
        <v>1493.3120414480052</v>
      </c>
      <c r="IH109" s="5">
        <f t="shared" si="123"/>
        <v>750.06258075217022</v>
      </c>
      <c r="II109" s="5">
        <f t="shared" si="123"/>
        <v>0</v>
      </c>
      <c r="IJ109" s="5">
        <f t="shared" si="123"/>
        <v>0</v>
      </c>
      <c r="IK109" s="5">
        <f t="shared" si="123"/>
        <v>0</v>
      </c>
      <c r="IL109" s="5">
        <f t="shared" si="123"/>
        <v>0</v>
      </c>
      <c r="IM109" s="5">
        <f t="shared" si="123"/>
        <v>0</v>
      </c>
      <c r="IN109" s="5">
        <f t="shared" si="123"/>
        <v>0</v>
      </c>
      <c r="IO109" s="5">
        <f t="shared" si="123"/>
        <v>0</v>
      </c>
      <c r="IP109" s="5">
        <f t="shared" si="123"/>
        <v>0</v>
      </c>
      <c r="IQ109" s="5">
        <f t="shared" si="123"/>
        <v>0</v>
      </c>
      <c r="IR109" s="5">
        <f t="shared" si="123"/>
        <v>0</v>
      </c>
      <c r="IS109" s="5">
        <f t="shared" si="123"/>
        <v>0</v>
      </c>
      <c r="IT109" s="5">
        <f t="shared" si="123"/>
        <v>0</v>
      </c>
      <c r="IU109" s="5">
        <f t="shared" si="123"/>
        <v>0</v>
      </c>
      <c r="IV109" s="5">
        <f t="shared" si="123"/>
        <v>0</v>
      </c>
      <c r="IW109" s="5">
        <f t="shared" si="123"/>
        <v>0</v>
      </c>
      <c r="IX109" s="5">
        <f t="shared" si="123"/>
        <v>0</v>
      </c>
      <c r="IY109" s="5">
        <f t="shared" ref="IY109:LJ109" si="124">IF(IY95&lt;=$B$26, MIN($B$107/12, IY103), 0)</f>
        <v>0</v>
      </c>
      <c r="IZ109" s="5">
        <f t="shared" si="124"/>
        <v>0</v>
      </c>
      <c r="JA109" s="5">
        <f t="shared" si="124"/>
        <v>0</v>
      </c>
      <c r="JB109" s="5">
        <f t="shared" si="124"/>
        <v>0</v>
      </c>
      <c r="JC109" s="5">
        <f t="shared" si="124"/>
        <v>0</v>
      </c>
      <c r="JD109" s="5">
        <f t="shared" si="124"/>
        <v>0</v>
      </c>
      <c r="JE109" s="5">
        <f t="shared" si="124"/>
        <v>0</v>
      </c>
      <c r="JF109" s="5">
        <f t="shared" si="124"/>
        <v>0</v>
      </c>
      <c r="JG109" s="5">
        <f t="shared" si="124"/>
        <v>0</v>
      </c>
      <c r="JH109" s="5">
        <f t="shared" si="124"/>
        <v>0</v>
      </c>
      <c r="JI109" s="5">
        <f t="shared" si="124"/>
        <v>0</v>
      </c>
      <c r="JJ109" s="5">
        <f t="shared" si="124"/>
        <v>0</v>
      </c>
      <c r="JK109" s="5">
        <f t="shared" si="124"/>
        <v>0</v>
      </c>
      <c r="JL109" s="5">
        <f t="shared" si="124"/>
        <v>0</v>
      </c>
      <c r="JM109" s="5">
        <f t="shared" si="124"/>
        <v>0</v>
      </c>
      <c r="JN109" s="5">
        <f t="shared" si="124"/>
        <v>0</v>
      </c>
      <c r="JO109" s="5">
        <f t="shared" si="124"/>
        <v>0</v>
      </c>
      <c r="JP109" s="5">
        <f t="shared" si="124"/>
        <v>0</v>
      </c>
      <c r="JQ109" s="5">
        <f t="shared" si="124"/>
        <v>0</v>
      </c>
      <c r="JR109" s="5">
        <f t="shared" si="124"/>
        <v>0</v>
      </c>
      <c r="JS109" s="5">
        <f t="shared" si="124"/>
        <v>0</v>
      </c>
      <c r="JT109" s="5">
        <f t="shared" si="124"/>
        <v>0</v>
      </c>
      <c r="JU109" s="5">
        <f t="shared" si="124"/>
        <v>0</v>
      </c>
      <c r="JV109" s="5">
        <f t="shared" si="124"/>
        <v>0</v>
      </c>
      <c r="JW109" s="5">
        <f t="shared" si="124"/>
        <v>0</v>
      </c>
      <c r="JX109" s="5">
        <f t="shared" si="124"/>
        <v>0</v>
      </c>
      <c r="JY109" s="5">
        <f t="shared" si="124"/>
        <v>0</v>
      </c>
      <c r="JZ109" s="5">
        <f t="shared" si="124"/>
        <v>0</v>
      </c>
      <c r="KA109" s="5">
        <f t="shared" si="124"/>
        <v>0</v>
      </c>
      <c r="KB109" s="5">
        <f t="shared" si="124"/>
        <v>0</v>
      </c>
      <c r="KC109" s="5">
        <f t="shared" si="124"/>
        <v>0</v>
      </c>
      <c r="KD109" s="5">
        <f t="shared" si="124"/>
        <v>0</v>
      </c>
      <c r="KE109" s="5">
        <f t="shared" si="124"/>
        <v>0</v>
      </c>
      <c r="KF109" s="5">
        <f t="shared" si="124"/>
        <v>0</v>
      </c>
      <c r="KG109" s="5">
        <f t="shared" si="124"/>
        <v>0</v>
      </c>
      <c r="KH109" s="5">
        <f t="shared" si="124"/>
        <v>0</v>
      </c>
      <c r="KI109" s="5">
        <f t="shared" si="124"/>
        <v>0</v>
      </c>
      <c r="KJ109" s="5">
        <f t="shared" si="124"/>
        <v>0</v>
      </c>
      <c r="KK109" s="5">
        <f t="shared" si="124"/>
        <v>0</v>
      </c>
      <c r="KL109" s="5">
        <f t="shared" si="124"/>
        <v>0</v>
      </c>
      <c r="KM109" s="5">
        <f t="shared" si="124"/>
        <v>0</v>
      </c>
      <c r="KN109" s="5">
        <f t="shared" si="124"/>
        <v>0</v>
      </c>
      <c r="KO109" s="5">
        <f t="shared" si="124"/>
        <v>0</v>
      </c>
      <c r="KP109" s="5">
        <f t="shared" si="124"/>
        <v>0</v>
      </c>
      <c r="KQ109" s="5">
        <f t="shared" si="124"/>
        <v>0</v>
      </c>
      <c r="KR109" s="5">
        <f t="shared" si="124"/>
        <v>0</v>
      </c>
      <c r="KS109" s="5">
        <f t="shared" si="124"/>
        <v>0</v>
      </c>
      <c r="KT109" s="5">
        <f t="shared" si="124"/>
        <v>0</v>
      </c>
      <c r="KU109" s="5">
        <f t="shared" si="124"/>
        <v>0</v>
      </c>
      <c r="KV109" s="5">
        <f t="shared" si="124"/>
        <v>0</v>
      </c>
      <c r="KW109" s="5">
        <f t="shared" si="124"/>
        <v>0</v>
      </c>
      <c r="KX109" s="5">
        <f t="shared" si="124"/>
        <v>0</v>
      </c>
      <c r="KY109" s="5">
        <f t="shared" si="124"/>
        <v>0</v>
      </c>
      <c r="KZ109" s="5">
        <f t="shared" si="124"/>
        <v>0</v>
      </c>
      <c r="LA109" s="5">
        <f t="shared" si="124"/>
        <v>0</v>
      </c>
      <c r="LB109" s="5">
        <f t="shared" si="124"/>
        <v>0</v>
      </c>
      <c r="LC109" s="5">
        <f t="shared" si="124"/>
        <v>0</v>
      </c>
      <c r="LD109" s="5">
        <f t="shared" si="124"/>
        <v>0</v>
      </c>
      <c r="LE109" s="5">
        <f t="shared" si="124"/>
        <v>0</v>
      </c>
      <c r="LF109" s="5">
        <f t="shared" si="124"/>
        <v>0</v>
      </c>
      <c r="LG109" s="5">
        <f t="shared" si="124"/>
        <v>0</v>
      </c>
      <c r="LH109" s="5">
        <f t="shared" si="124"/>
        <v>0</v>
      </c>
      <c r="LI109" s="5">
        <f t="shared" si="124"/>
        <v>0</v>
      </c>
      <c r="LJ109" s="5">
        <f t="shared" si="124"/>
        <v>0</v>
      </c>
      <c r="LK109" s="5">
        <f t="shared" ref="LK109:NV109" si="125">IF(LK95&lt;=$B$26, MIN($B$107/12, LK103), 0)</f>
        <v>0</v>
      </c>
      <c r="LL109" s="5">
        <f t="shared" si="125"/>
        <v>0</v>
      </c>
      <c r="LM109" s="5">
        <f t="shared" si="125"/>
        <v>0</v>
      </c>
      <c r="LN109" s="5">
        <f t="shared" si="125"/>
        <v>0</v>
      </c>
      <c r="LO109" s="5">
        <f t="shared" si="125"/>
        <v>0</v>
      </c>
      <c r="LP109" s="5">
        <f t="shared" si="125"/>
        <v>0</v>
      </c>
      <c r="LQ109" s="5">
        <f t="shared" si="125"/>
        <v>0</v>
      </c>
      <c r="LR109" s="5">
        <f t="shared" si="125"/>
        <v>0</v>
      </c>
      <c r="LS109" s="5">
        <f t="shared" si="125"/>
        <v>0</v>
      </c>
      <c r="LT109" s="5">
        <f t="shared" si="125"/>
        <v>0</v>
      </c>
      <c r="LU109" s="5">
        <f t="shared" si="125"/>
        <v>0</v>
      </c>
      <c r="LV109" s="5">
        <f t="shared" si="125"/>
        <v>0</v>
      </c>
      <c r="LW109" s="5">
        <f t="shared" si="125"/>
        <v>0</v>
      </c>
      <c r="LX109" s="5">
        <f t="shared" si="125"/>
        <v>0</v>
      </c>
      <c r="LY109" s="5">
        <f t="shared" si="125"/>
        <v>0</v>
      </c>
      <c r="LZ109" s="5">
        <f t="shared" si="125"/>
        <v>0</v>
      </c>
      <c r="MA109" s="5">
        <f t="shared" si="125"/>
        <v>0</v>
      </c>
      <c r="MB109" s="5">
        <f t="shared" si="125"/>
        <v>0</v>
      </c>
      <c r="MC109" s="5">
        <f t="shared" si="125"/>
        <v>0</v>
      </c>
      <c r="MD109" s="5">
        <f t="shared" si="125"/>
        <v>0</v>
      </c>
      <c r="ME109" s="5">
        <f t="shared" si="125"/>
        <v>0</v>
      </c>
      <c r="MF109" s="5">
        <f t="shared" si="125"/>
        <v>0</v>
      </c>
      <c r="MG109" s="5">
        <f t="shared" si="125"/>
        <v>0</v>
      </c>
      <c r="MH109" s="5">
        <f t="shared" si="125"/>
        <v>0</v>
      </c>
      <c r="MI109" s="5">
        <f t="shared" si="125"/>
        <v>0</v>
      </c>
      <c r="MJ109" s="5">
        <f t="shared" si="125"/>
        <v>0</v>
      </c>
      <c r="MK109" s="5">
        <f t="shared" si="125"/>
        <v>0</v>
      </c>
      <c r="ML109" s="5">
        <f t="shared" si="125"/>
        <v>0</v>
      </c>
      <c r="MM109" s="5">
        <f t="shared" si="125"/>
        <v>0</v>
      </c>
      <c r="MN109" s="5">
        <f t="shared" si="125"/>
        <v>0</v>
      </c>
      <c r="MO109" s="5">
        <f t="shared" si="125"/>
        <v>0</v>
      </c>
      <c r="MP109" s="5">
        <f t="shared" si="125"/>
        <v>0</v>
      </c>
      <c r="MQ109" s="5">
        <f t="shared" si="125"/>
        <v>0</v>
      </c>
      <c r="MR109" s="5">
        <f t="shared" si="125"/>
        <v>0</v>
      </c>
      <c r="MS109" s="5">
        <f t="shared" si="125"/>
        <v>0</v>
      </c>
      <c r="MT109" s="5">
        <f t="shared" si="125"/>
        <v>0</v>
      </c>
      <c r="MU109" s="5">
        <f t="shared" si="125"/>
        <v>0</v>
      </c>
      <c r="MV109" s="5">
        <f t="shared" si="125"/>
        <v>0</v>
      </c>
      <c r="MW109" s="5">
        <f t="shared" si="125"/>
        <v>0</v>
      </c>
      <c r="MX109" s="5">
        <f t="shared" si="125"/>
        <v>0</v>
      </c>
      <c r="MY109" s="5">
        <f t="shared" si="125"/>
        <v>0</v>
      </c>
      <c r="MZ109" s="5">
        <f t="shared" si="125"/>
        <v>0</v>
      </c>
      <c r="NA109" s="5">
        <f t="shared" si="125"/>
        <v>0</v>
      </c>
      <c r="NB109" s="5">
        <f t="shared" si="125"/>
        <v>0</v>
      </c>
      <c r="NC109" s="5">
        <f t="shared" si="125"/>
        <v>0</v>
      </c>
      <c r="ND109" s="5">
        <f t="shared" si="125"/>
        <v>0</v>
      </c>
      <c r="NE109" s="5">
        <f t="shared" si="125"/>
        <v>0</v>
      </c>
      <c r="NF109" s="5">
        <f t="shared" si="125"/>
        <v>0</v>
      </c>
      <c r="NG109" s="5">
        <f t="shared" si="125"/>
        <v>0</v>
      </c>
      <c r="NH109" s="5">
        <f t="shared" si="125"/>
        <v>0</v>
      </c>
      <c r="NI109" s="5">
        <f t="shared" si="125"/>
        <v>0</v>
      </c>
      <c r="NJ109" s="5">
        <f t="shared" si="125"/>
        <v>0</v>
      </c>
      <c r="NK109" s="5">
        <f t="shared" si="125"/>
        <v>0</v>
      </c>
      <c r="NL109" s="5">
        <f t="shared" si="125"/>
        <v>0</v>
      </c>
      <c r="NM109" s="5">
        <f t="shared" si="125"/>
        <v>0</v>
      </c>
      <c r="NN109" s="5">
        <f t="shared" si="125"/>
        <v>0</v>
      </c>
      <c r="NO109" s="5">
        <f t="shared" si="125"/>
        <v>0</v>
      </c>
      <c r="NP109" s="5">
        <f t="shared" si="125"/>
        <v>0</v>
      </c>
      <c r="NQ109" s="5">
        <f t="shared" si="125"/>
        <v>0</v>
      </c>
      <c r="NR109" s="5">
        <f t="shared" si="125"/>
        <v>0</v>
      </c>
      <c r="NS109" s="5">
        <f t="shared" si="125"/>
        <v>0</v>
      </c>
      <c r="NT109" s="5">
        <f t="shared" si="125"/>
        <v>0</v>
      </c>
      <c r="NU109" s="5">
        <f t="shared" si="125"/>
        <v>0</v>
      </c>
      <c r="NV109" s="5">
        <f t="shared" si="125"/>
        <v>0</v>
      </c>
      <c r="NW109" s="5">
        <f t="shared" ref="NW109:PF109" si="126">IF(NW95&lt;=$B$26, MIN($B$107/12, NW103), 0)</f>
        <v>0</v>
      </c>
      <c r="NX109" s="5">
        <f t="shared" si="126"/>
        <v>0</v>
      </c>
      <c r="NY109" s="5">
        <f t="shared" si="126"/>
        <v>0</v>
      </c>
      <c r="NZ109" s="5">
        <f t="shared" si="126"/>
        <v>0</v>
      </c>
      <c r="OA109" s="5">
        <f t="shared" si="126"/>
        <v>0</v>
      </c>
      <c r="OB109" s="5">
        <f t="shared" si="126"/>
        <v>0</v>
      </c>
      <c r="OC109" s="5">
        <f t="shared" si="126"/>
        <v>0</v>
      </c>
      <c r="OD109" s="5">
        <f t="shared" si="126"/>
        <v>0</v>
      </c>
      <c r="OE109" s="5">
        <f t="shared" si="126"/>
        <v>0</v>
      </c>
      <c r="OF109" s="5">
        <f t="shared" si="126"/>
        <v>0</v>
      </c>
      <c r="OG109" s="5">
        <f t="shared" si="126"/>
        <v>0</v>
      </c>
      <c r="OH109" s="5">
        <f t="shared" si="126"/>
        <v>0</v>
      </c>
      <c r="OI109" s="5">
        <f t="shared" si="126"/>
        <v>0</v>
      </c>
      <c r="OJ109" s="5">
        <f t="shared" si="126"/>
        <v>0</v>
      </c>
      <c r="OK109" s="5">
        <f t="shared" si="126"/>
        <v>0</v>
      </c>
      <c r="OL109" s="5">
        <f t="shared" si="126"/>
        <v>0</v>
      </c>
      <c r="OM109" s="5">
        <f t="shared" si="126"/>
        <v>0</v>
      </c>
      <c r="ON109" s="5">
        <f t="shared" si="126"/>
        <v>0</v>
      </c>
      <c r="OO109" s="5">
        <f t="shared" si="126"/>
        <v>0</v>
      </c>
      <c r="OP109" s="5">
        <f t="shared" si="126"/>
        <v>0</v>
      </c>
      <c r="OQ109" s="5">
        <f t="shared" si="126"/>
        <v>0</v>
      </c>
      <c r="OR109" s="5">
        <f t="shared" si="126"/>
        <v>0</v>
      </c>
      <c r="OS109" s="5">
        <f t="shared" si="126"/>
        <v>0</v>
      </c>
      <c r="OT109" s="5">
        <f t="shared" si="126"/>
        <v>0</v>
      </c>
      <c r="OU109" s="5">
        <f t="shared" si="126"/>
        <v>0</v>
      </c>
      <c r="OV109" s="5">
        <f t="shared" si="126"/>
        <v>0</v>
      </c>
      <c r="OW109" s="5">
        <f t="shared" si="126"/>
        <v>0</v>
      </c>
      <c r="OX109" s="5">
        <f t="shared" si="126"/>
        <v>0</v>
      </c>
      <c r="OY109" s="5">
        <f t="shared" si="126"/>
        <v>0</v>
      </c>
      <c r="OZ109" s="5">
        <f t="shared" si="126"/>
        <v>0</v>
      </c>
      <c r="PA109" s="5">
        <f t="shared" si="126"/>
        <v>0</v>
      </c>
      <c r="PB109" s="5">
        <f t="shared" si="126"/>
        <v>0</v>
      </c>
      <c r="PC109" s="5">
        <f t="shared" si="126"/>
        <v>0</v>
      </c>
      <c r="PD109" s="5">
        <f t="shared" si="126"/>
        <v>0</v>
      </c>
      <c r="PE109" s="5">
        <f t="shared" si="126"/>
        <v>0</v>
      </c>
      <c r="PF109" s="5">
        <f t="shared" si="126"/>
        <v>0</v>
      </c>
    </row>
    <row r="110" spans="1:422" hidden="1">
      <c r="A110" s="6"/>
      <c r="C110" s="18"/>
    </row>
    <row r="111" spans="1:422" hidden="1">
      <c r="A111" s="6" t="s">
        <v>42</v>
      </c>
      <c r="B111" s="5">
        <f>B29</f>
        <v>6000</v>
      </c>
      <c r="C111" s="18">
        <f t="shared" ref="C111:BN111" si="127">IF(C95&lt;=$B$92, B111*(1+$E$29/12), 0)</f>
        <v>6035</v>
      </c>
      <c r="D111" s="5">
        <f t="shared" si="127"/>
        <v>6070.2041666666664</v>
      </c>
      <c r="E111" s="5">
        <f t="shared" si="127"/>
        <v>6105.6136909722218</v>
      </c>
      <c r="F111" s="5">
        <f t="shared" si="127"/>
        <v>6141.2297708362266</v>
      </c>
      <c r="G111" s="5">
        <f t="shared" si="127"/>
        <v>6177.0536111661049</v>
      </c>
      <c r="H111" s="5">
        <f t="shared" si="127"/>
        <v>6213.0864238979075</v>
      </c>
      <c r="I111" s="5">
        <f t="shared" si="127"/>
        <v>6249.329428037312</v>
      </c>
      <c r="J111" s="5">
        <f t="shared" si="127"/>
        <v>6285.7838497008634</v>
      </c>
      <c r="K111" s="5">
        <f t="shared" si="127"/>
        <v>6322.4509221574517</v>
      </c>
      <c r="L111" s="5">
        <f t="shared" si="127"/>
        <v>6359.3318858700368</v>
      </c>
      <c r="M111" s="5">
        <f t="shared" si="127"/>
        <v>6396.4279885376118</v>
      </c>
      <c r="N111" s="5">
        <f t="shared" si="127"/>
        <v>6433.7404851374149</v>
      </c>
      <c r="O111" s="5">
        <f t="shared" si="127"/>
        <v>6471.2706379673837</v>
      </c>
      <c r="P111" s="5">
        <f t="shared" si="127"/>
        <v>6509.0197166888602</v>
      </c>
      <c r="Q111" s="5">
        <f t="shared" si="127"/>
        <v>6546.9889983695457</v>
      </c>
      <c r="R111" s="5">
        <f t="shared" si="127"/>
        <v>6585.1797675267017</v>
      </c>
      <c r="S111" s="5">
        <f t="shared" si="127"/>
        <v>6623.593316170608</v>
      </c>
      <c r="T111" s="5">
        <f t="shared" si="127"/>
        <v>6662.2309438482698</v>
      </c>
      <c r="U111" s="5">
        <f t="shared" si="127"/>
        <v>6701.0939576873852</v>
      </c>
      <c r="V111" s="5">
        <f t="shared" si="127"/>
        <v>6740.1836724405621</v>
      </c>
      <c r="W111" s="5">
        <f t="shared" si="127"/>
        <v>6779.5014105297987</v>
      </c>
      <c r="X111" s="5">
        <f t="shared" si="127"/>
        <v>6819.0485020912229</v>
      </c>
      <c r="Y111" s="5">
        <f t="shared" si="127"/>
        <v>6858.8262850200881</v>
      </c>
      <c r="Z111" s="5">
        <f t="shared" si="127"/>
        <v>6898.8361050160383</v>
      </c>
      <c r="AA111" s="5">
        <f t="shared" si="127"/>
        <v>6939.0793156286318</v>
      </c>
      <c r="AB111" s="5">
        <f t="shared" si="127"/>
        <v>6979.5572783031321</v>
      </c>
      <c r="AC111" s="5">
        <f t="shared" si="127"/>
        <v>7020.2713624265671</v>
      </c>
      <c r="AD111" s="5">
        <f t="shared" si="127"/>
        <v>7061.2229453740556</v>
      </c>
      <c r="AE111" s="5">
        <f t="shared" si="127"/>
        <v>7102.4134125554046</v>
      </c>
      <c r="AF111" s="5">
        <f t="shared" si="127"/>
        <v>7143.8441574619783</v>
      </c>
      <c r="AG111" s="5">
        <f t="shared" si="127"/>
        <v>7185.5165817138404</v>
      </c>
      <c r="AH111" s="5">
        <f t="shared" si="127"/>
        <v>7227.4320951071713</v>
      </c>
      <c r="AI111" s="5">
        <f t="shared" si="127"/>
        <v>7269.5921156619634</v>
      </c>
      <c r="AJ111" s="5">
        <f t="shared" si="127"/>
        <v>7311.9980696699913</v>
      </c>
      <c r="AK111" s="5">
        <f t="shared" si="127"/>
        <v>7354.6513917430666</v>
      </c>
      <c r="AL111" s="5">
        <f t="shared" si="127"/>
        <v>7397.5535248615679</v>
      </c>
      <c r="AM111" s="5">
        <f t="shared" si="127"/>
        <v>7440.705920423261</v>
      </c>
      <c r="AN111" s="5">
        <f t="shared" si="127"/>
        <v>7484.1100382923969</v>
      </c>
      <c r="AO111" s="5">
        <f t="shared" si="127"/>
        <v>7527.767346849103</v>
      </c>
      <c r="AP111" s="5">
        <f t="shared" si="127"/>
        <v>7571.6793230390558</v>
      </c>
      <c r="AQ111" s="5">
        <f t="shared" si="127"/>
        <v>7615.8474524234507</v>
      </c>
      <c r="AR111" s="5">
        <f t="shared" si="127"/>
        <v>7660.273229229254</v>
      </c>
      <c r="AS111" s="5">
        <f t="shared" si="127"/>
        <v>7704.9581563997581</v>
      </c>
      <c r="AT111" s="5">
        <f t="shared" si="127"/>
        <v>7749.9037456454234</v>
      </c>
      <c r="AU111" s="5">
        <f t="shared" si="127"/>
        <v>7795.1115174950219</v>
      </c>
      <c r="AV111" s="5">
        <f t="shared" si="127"/>
        <v>7840.5830013470768</v>
      </c>
      <c r="AW111" s="5">
        <f t="shared" si="127"/>
        <v>7886.3197355216016</v>
      </c>
      <c r="AX111" s="5">
        <f t="shared" si="127"/>
        <v>7932.3232673121447</v>
      </c>
      <c r="AY111" s="5">
        <f t="shared" si="127"/>
        <v>7978.5951530381326</v>
      </c>
      <c r="AZ111" s="5">
        <f t="shared" si="127"/>
        <v>8025.1369580975215</v>
      </c>
      <c r="BA111" s="5">
        <f t="shared" si="127"/>
        <v>8071.9502570197574</v>
      </c>
      <c r="BB111" s="5">
        <f t="shared" si="127"/>
        <v>8119.0366335190392</v>
      </c>
      <c r="BC111" s="5">
        <f t="shared" si="127"/>
        <v>8166.3976805479006</v>
      </c>
      <c r="BD111" s="5">
        <f t="shared" si="127"/>
        <v>8214.0350003510976</v>
      </c>
      <c r="BE111" s="5">
        <f t="shared" si="127"/>
        <v>8261.9502045198133</v>
      </c>
      <c r="BF111" s="5">
        <f t="shared" si="127"/>
        <v>8310.1449140461791</v>
      </c>
      <c r="BG111" s="5">
        <f t="shared" si="127"/>
        <v>8358.6207593781146</v>
      </c>
      <c r="BH111" s="5">
        <f t="shared" si="127"/>
        <v>8407.3793804744873</v>
      </c>
      <c r="BI111" s="5">
        <f t="shared" si="127"/>
        <v>8456.4224268605885</v>
      </c>
      <c r="BJ111" s="5">
        <f t="shared" si="127"/>
        <v>8505.7515576839414</v>
      </c>
      <c r="BK111" s="5">
        <f t="shared" si="127"/>
        <v>8555.3684417704317</v>
      </c>
      <c r="BL111" s="5">
        <f t="shared" si="127"/>
        <v>8605.2747576807596</v>
      </c>
      <c r="BM111" s="5">
        <f t="shared" si="127"/>
        <v>8655.4721937672311</v>
      </c>
      <c r="BN111" s="5">
        <f t="shared" si="127"/>
        <v>8705.9624482308736</v>
      </c>
      <c r="BO111" s="5">
        <f t="shared" ref="BO111:DZ111" si="128">IF(BO95&lt;=$B$92, BN111*(1+$E$29/12), 0)</f>
        <v>8756.7472291788872</v>
      </c>
      <c r="BP111" s="5">
        <f t="shared" si="128"/>
        <v>8807.8282546824303</v>
      </c>
      <c r="BQ111" s="5">
        <f t="shared" si="128"/>
        <v>8859.2072528347453</v>
      </c>
      <c r="BR111" s="5">
        <f t="shared" si="128"/>
        <v>8910.8859618096158</v>
      </c>
      <c r="BS111" s="5">
        <f t="shared" si="128"/>
        <v>8962.8661299201722</v>
      </c>
      <c r="BT111" s="5">
        <f t="shared" si="128"/>
        <v>9015.1495156780402</v>
      </c>
      <c r="BU111" s="5">
        <f t="shared" si="128"/>
        <v>9067.7378878528289</v>
      </c>
      <c r="BV111" s="5">
        <f t="shared" si="128"/>
        <v>9120.6330255319699</v>
      </c>
      <c r="BW111" s="5">
        <f t="shared" si="128"/>
        <v>9173.8367181809062</v>
      </c>
      <c r="BX111" s="5">
        <f t="shared" si="128"/>
        <v>9227.350765703628</v>
      </c>
      <c r="BY111" s="5">
        <f t="shared" si="128"/>
        <v>9281.1769785035667</v>
      </c>
      <c r="BZ111" s="5">
        <f t="shared" si="128"/>
        <v>9335.3171775448373</v>
      </c>
      <c r="CA111" s="5">
        <f t="shared" si="128"/>
        <v>9389.7731944138486</v>
      </c>
      <c r="CB111" s="5">
        <f t="shared" si="128"/>
        <v>9444.5468713812625</v>
      </c>
      <c r="CC111" s="5">
        <f t="shared" si="128"/>
        <v>9499.6400614643208</v>
      </c>
      <c r="CD111" s="5">
        <f t="shared" si="128"/>
        <v>9555.0546284895299</v>
      </c>
      <c r="CE111" s="5">
        <f t="shared" si="128"/>
        <v>9610.7924471557199</v>
      </c>
      <c r="CF111" s="5">
        <f t="shared" si="128"/>
        <v>9666.855403097461</v>
      </c>
      <c r="CG111" s="5">
        <f t="shared" si="128"/>
        <v>9723.2453929488638</v>
      </c>
      <c r="CH111" s="5">
        <f t="shared" si="128"/>
        <v>9779.9643244077324</v>
      </c>
      <c r="CI111" s="5">
        <f t="shared" si="128"/>
        <v>9837.0141163001117</v>
      </c>
      <c r="CJ111" s="5">
        <f t="shared" si="128"/>
        <v>9894.396698645196</v>
      </c>
      <c r="CK111" s="5">
        <f t="shared" si="128"/>
        <v>9952.1140127206272</v>
      </c>
      <c r="CL111" s="5">
        <f t="shared" si="128"/>
        <v>10010.168011128164</v>
      </c>
      <c r="CM111" s="5">
        <f t="shared" si="128"/>
        <v>10068.560657859745</v>
      </c>
      <c r="CN111" s="5">
        <f t="shared" si="128"/>
        <v>10127.293928363928</v>
      </c>
      <c r="CO111" s="5">
        <f t="shared" si="128"/>
        <v>10186.369809612717</v>
      </c>
      <c r="CP111" s="5">
        <f t="shared" si="128"/>
        <v>10245.790300168792</v>
      </c>
      <c r="CQ111" s="5">
        <f t="shared" si="128"/>
        <v>10305.55741025311</v>
      </c>
      <c r="CR111" s="5">
        <f t="shared" si="128"/>
        <v>10365.67316181292</v>
      </c>
      <c r="CS111" s="5">
        <f t="shared" si="128"/>
        <v>10426.139588590162</v>
      </c>
      <c r="CT111" s="5">
        <f t="shared" si="128"/>
        <v>10486.958736190272</v>
      </c>
      <c r="CU111" s="5">
        <f t="shared" si="128"/>
        <v>10548.132662151382</v>
      </c>
      <c r="CV111" s="5">
        <f t="shared" si="128"/>
        <v>10609.663436013932</v>
      </c>
      <c r="CW111" s="5">
        <f t="shared" si="128"/>
        <v>10671.55313939068</v>
      </c>
      <c r="CX111" s="5">
        <f t="shared" si="128"/>
        <v>10733.803866037126</v>
      </c>
      <c r="CY111" s="5">
        <f t="shared" si="128"/>
        <v>10796.417721922342</v>
      </c>
      <c r="CZ111" s="5">
        <f t="shared" si="128"/>
        <v>10859.396825300222</v>
      </c>
      <c r="DA111" s="5">
        <f t="shared" si="128"/>
        <v>10922.74330678114</v>
      </c>
      <c r="DB111" s="5">
        <f t="shared" si="128"/>
        <v>10986.45930940403</v>
      </c>
      <c r="DC111" s="5">
        <f t="shared" si="128"/>
        <v>11050.546988708888</v>
      </c>
      <c r="DD111" s="5">
        <f t="shared" si="128"/>
        <v>11115.008512809689</v>
      </c>
      <c r="DE111" s="5">
        <f t="shared" si="128"/>
        <v>11179.846062467746</v>
      </c>
      <c r="DF111" s="5">
        <f t="shared" si="128"/>
        <v>11245.061831165474</v>
      </c>
      <c r="DG111" s="5">
        <f t="shared" si="128"/>
        <v>11310.658025180606</v>
      </c>
      <c r="DH111" s="5">
        <f t="shared" si="128"/>
        <v>11376.636863660826</v>
      </c>
      <c r="DI111" s="5">
        <f t="shared" si="128"/>
        <v>11443.000578698848</v>
      </c>
      <c r="DJ111" s="5">
        <f t="shared" si="128"/>
        <v>11509.751415407925</v>
      </c>
      <c r="DK111" s="5">
        <f t="shared" si="128"/>
        <v>11576.891631997805</v>
      </c>
      <c r="DL111" s="5">
        <f t="shared" si="128"/>
        <v>11644.423499851126</v>
      </c>
      <c r="DM111" s="5">
        <f t="shared" si="128"/>
        <v>11712.349303600258</v>
      </c>
      <c r="DN111" s="5">
        <f t="shared" si="128"/>
        <v>11780.671341204594</v>
      </c>
      <c r="DO111" s="5">
        <f t="shared" si="128"/>
        <v>11849.391924028287</v>
      </c>
      <c r="DP111" s="5">
        <f t="shared" si="128"/>
        <v>11918.513376918452</v>
      </c>
      <c r="DQ111" s="5">
        <f t="shared" si="128"/>
        <v>11988.03803828381</v>
      </c>
      <c r="DR111" s="5">
        <f t="shared" si="128"/>
        <v>12057.968260173799</v>
      </c>
      <c r="DS111" s="5">
        <f t="shared" si="128"/>
        <v>12128.306408358147</v>
      </c>
      <c r="DT111" s="5">
        <f t="shared" si="128"/>
        <v>12199.054862406903</v>
      </c>
      <c r="DU111" s="5">
        <f t="shared" si="128"/>
        <v>12270.216015770944</v>
      </c>
      <c r="DV111" s="5">
        <f t="shared" si="128"/>
        <v>12341.792275862941</v>
      </c>
      <c r="DW111" s="5">
        <f t="shared" si="128"/>
        <v>12413.786064138809</v>
      </c>
      <c r="DX111" s="5">
        <f t="shared" si="128"/>
        <v>12486.199816179618</v>
      </c>
      <c r="DY111" s="5">
        <f t="shared" si="128"/>
        <v>12559.035981773999</v>
      </c>
      <c r="DZ111" s="5">
        <f t="shared" si="128"/>
        <v>12632.297025001015</v>
      </c>
      <c r="EA111" s="5">
        <f t="shared" ref="EA111:GL111" si="129">IF(EA95&lt;=$B$92, DZ111*(1+$E$29/12), 0)</f>
        <v>12705.985424313521</v>
      </c>
      <c r="EB111" s="5">
        <f t="shared" si="129"/>
        <v>12780.103672622017</v>
      </c>
      <c r="EC111" s="5">
        <f t="shared" si="129"/>
        <v>12854.654277378979</v>
      </c>
      <c r="ED111" s="5">
        <f t="shared" si="129"/>
        <v>12929.639760663689</v>
      </c>
      <c r="EE111" s="5">
        <f t="shared" si="129"/>
        <v>13005.062659267562</v>
      </c>
      <c r="EF111" s="5">
        <f t="shared" si="129"/>
        <v>13080.925524779956</v>
      </c>
      <c r="EG111" s="5">
        <f t="shared" si="129"/>
        <v>13157.230923674506</v>
      </c>
      <c r="EH111" s="5">
        <f t="shared" si="129"/>
        <v>13233.981437395942</v>
      </c>
      <c r="EI111" s="5">
        <f t="shared" si="129"/>
        <v>13311.179662447419</v>
      </c>
      <c r="EJ111" s="5">
        <f t="shared" si="129"/>
        <v>13388.828210478363</v>
      </c>
      <c r="EK111" s="5">
        <f t="shared" si="129"/>
        <v>13466.92970837282</v>
      </c>
      <c r="EL111" s="5">
        <f t="shared" si="129"/>
        <v>13545.486798338328</v>
      </c>
      <c r="EM111" s="5">
        <f t="shared" si="129"/>
        <v>13624.502137995301</v>
      </c>
      <c r="EN111" s="5">
        <f t="shared" si="129"/>
        <v>13703.978400466942</v>
      </c>
      <c r="EO111" s="5">
        <f t="shared" si="129"/>
        <v>13783.918274469666</v>
      </c>
      <c r="EP111" s="5">
        <f t="shared" si="129"/>
        <v>13864.324464404073</v>
      </c>
      <c r="EQ111" s="5">
        <f t="shared" si="129"/>
        <v>13945.19969044643</v>
      </c>
      <c r="ER111" s="5">
        <f t="shared" si="129"/>
        <v>14026.546688640701</v>
      </c>
      <c r="ES111" s="5">
        <f t="shared" si="129"/>
        <v>14108.368210991106</v>
      </c>
      <c r="ET111" s="5">
        <f t="shared" si="129"/>
        <v>14190.667025555222</v>
      </c>
      <c r="EU111" s="5">
        <f t="shared" si="129"/>
        <v>14273.445916537628</v>
      </c>
      <c r="EV111" s="5">
        <f t="shared" si="129"/>
        <v>14356.707684384099</v>
      </c>
      <c r="EW111" s="5">
        <f t="shared" si="129"/>
        <v>14440.45514587634</v>
      </c>
      <c r="EX111" s="5">
        <f t="shared" si="129"/>
        <v>14524.691134227285</v>
      </c>
      <c r="EY111" s="5">
        <f t="shared" si="129"/>
        <v>14609.418499176945</v>
      </c>
      <c r="EZ111" s="5">
        <f t="shared" si="129"/>
        <v>14694.640107088811</v>
      </c>
      <c r="FA111" s="5">
        <f t="shared" si="129"/>
        <v>14780.358841046829</v>
      </c>
      <c r="FB111" s="5">
        <f t="shared" si="129"/>
        <v>14866.577600952936</v>
      </c>
      <c r="FC111" s="5">
        <f t="shared" si="129"/>
        <v>14953.299303625163</v>
      </c>
      <c r="FD111" s="5">
        <f t="shared" si="129"/>
        <v>15040.526882896311</v>
      </c>
      <c r="FE111" s="5">
        <f t="shared" si="129"/>
        <v>15128.263289713206</v>
      </c>
      <c r="FF111" s="5">
        <f t="shared" si="129"/>
        <v>15216.511492236534</v>
      </c>
      <c r="FG111" s="5">
        <f t="shared" si="129"/>
        <v>15305.274475941247</v>
      </c>
      <c r="FH111" s="5">
        <f t="shared" si="129"/>
        <v>15394.555243717572</v>
      </c>
      <c r="FI111" s="5">
        <f t="shared" si="129"/>
        <v>15484.356815972591</v>
      </c>
      <c r="FJ111" s="5">
        <f t="shared" si="129"/>
        <v>15574.682230732431</v>
      </c>
      <c r="FK111" s="5">
        <f t="shared" si="129"/>
        <v>15665.534543745038</v>
      </c>
      <c r="FL111" s="5">
        <f t="shared" si="129"/>
        <v>15756.916828583551</v>
      </c>
      <c r="FM111" s="5">
        <f t="shared" si="129"/>
        <v>15848.832176750289</v>
      </c>
      <c r="FN111" s="5">
        <f t="shared" si="129"/>
        <v>15941.283697781333</v>
      </c>
      <c r="FO111" s="5">
        <f t="shared" si="129"/>
        <v>16034.274519351724</v>
      </c>
      <c r="FP111" s="5">
        <f t="shared" si="129"/>
        <v>16127.807787381276</v>
      </c>
      <c r="FQ111" s="5">
        <f t="shared" si="129"/>
        <v>16221.886666141001</v>
      </c>
      <c r="FR111" s="5">
        <f t="shared" si="129"/>
        <v>16316.514338360157</v>
      </c>
      <c r="FS111" s="5">
        <f t="shared" si="129"/>
        <v>16411.694005333924</v>
      </c>
      <c r="FT111" s="5">
        <f t="shared" si="129"/>
        <v>16507.428887031707</v>
      </c>
      <c r="FU111" s="5">
        <f t="shared" si="129"/>
        <v>16603.722222206059</v>
      </c>
      <c r="FV111" s="5">
        <f t="shared" si="129"/>
        <v>16700.57726850226</v>
      </c>
      <c r="FW111" s="5">
        <f t="shared" si="129"/>
        <v>16797.997302568525</v>
      </c>
      <c r="FX111" s="5">
        <f t="shared" si="129"/>
        <v>16895.985620166841</v>
      </c>
      <c r="FY111" s="5">
        <f t="shared" si="129"/>
        <v>16994.54553628448</v>
      </c>
      <c r="FZ111" s="5">
        <f t="shared" si="129"/>
        <v>17093.680385246142</v>
      </c>
      <c r="GA111" s="5">
        <f t="shared" si="129"/>
        <v>17193.393520826743</v>
      </c>
      <c r="GB111" s="5">
        <f t="shared" si="129"/>
        <v>17293.6883163649</v>
      </c>
      <c r="GC111" s="5">
        <f t="shared" si="129"/>
        <v>17394.56816487703</v>
      </c>
      <c r="GD111" s="5">
        <f t="shared" si="129"/>
        <v>17496.036479172148</v>
      </c>
      <c r="GE111" s="5">
        <f t="shared" si="129"/>
        <v>17598.096691967319</v>
      </c>
      <c r="GF111" s="5">
        <f t="shared" si="129"/>
        <v>17700.752256003794</v>
      </c>
      <c r="GG111" s="5">
        <f t="shared" si="129"/>
        <v>17804.006644163816</v>
      </c>
      <c r="GH111" s="5">
        <f t="shared" si="129"/>
        <v>17907.863349588104</v>
      </c>
      <c r="GI111" s="5">
        <f t="shared" si="129"/>
        <v>18012.325885794035</v>
      </c>
      <c r="GJ111" s="5">
        <f t="shared" si="129"/>
        <v>18117.3977867945</v>
      </c>
      <c r="GK111" s="5">
        <f t="shared" si="129"/>
        <v>18223.082607217468</v>
      </c>
      <c r="GL111" s="5">
        <f t="shared" si="129"/>
        <v>18329.383922426237</v>
      </c>
      <c r="GM111" s="5">
        <f t="shared" ref="GM111:IX111" si="130">IF(GM95&lt;=$B$92, GL111*(1+$E$29/12), 0)</f>
        <v>18436.305328640392</v>
      </c>
      <c r="GN111" s="5">
        <f t="shared" si="130"/>
        <v>18543.850443057461</v>
      </c>
      <c r="GO111" s="5">
        <f t="shared" si="130"/>
        <v>18652.022903975296</v>
      </c>
      <c r="GP111" s="5">
        <f t="shared" si="130"/>
        <v>18760.826370915151</v>
      </c>
      <c r="GQ111" s="5">
        <f t="shared" si="130"/>
        <v>18870.264524745489</v>
      </c>
      <c r="GR111" s="5">
        <f t="shared" si="130"/>
        <v>18980.341067806505</v>
      </c>
      <c r="GS111" s="5">
        <f t="shared" si="130"/>
        <v>19091.059724035378</v>
      </c>
      <c r="GT111" s="5">
        <f t="shared" si="130"/>
        <v>19202.424239092252</v>
      </c>
      <c r="GU111" s="5">
        <f t="shared" si="130"/>
        <v>19314.438380486958</v>
      </c>
      <c r="GV111" s="5">
        <f t="shared" si="130"/>
        <v>19427.105937706467</v>
      </c>
      <c r="GW111" s="5">
        <f t="shared" si="130"/>
        <v>19540.430722343088</v>
      </c>
      <c r="GX111" s="5">
        <f t="shared" si="130"/>
        <v>19654.416568223423</v>
      </c>
      <c r="GY111" s="5">
        <f t="shared" si="130"/>
        <v>19769.067331538059</v>
      </c>
      <c r="GZ111" s="5">
        <f t="shared" si="130"/>
        <v>19884.386890972033</v>
      </c>
      <c r="HA111" s="5">
        <f t="shared" si="130"/>
        <v>20000.379147836036</v>
      </c>
      <c r="HB111" s="5">
        <f t="shared" si="130"/>
        <v>20117.048026198412</v>
      </c>
      <c r="HC111" s="5">
        <f t="shared" si="130"/>
        <v>20234.397473017903</v>
      </c>
      <c r="HD111" s="5">
        <f t="shared" si="130"/>
        <v>20352.431458277177</v>
      </c>
      <c r="HE111" s="5">
        <f t="shared" si="130"/>
        <v>20471.153975117126</v>
      </c>
      <c r="HF111" s="5">
        <f t="shared" si="130"/>
        <v>20590.569039971975</v>
      </c>
      <c r="HG111" s="5">
        <f t="shared" si="130"/>
        <v>20710.680692705144</v>
      </c>
      <c r="HH111" s="5">
        <f t="shared" si="130"/>
        <v>20831.492996745925</v>
      </c>
      <c r="HI111" s="5">
        <f t="shared" si="130"/>
        <v>20953.010039226941</v>
      </c>
      <c r="HJ111" s="5">
        <f t="shared" si="130"/>
        <v>21075.235931122432</v>
      </c>
      <c r="HK111" s="5">
        <f t="shared" si="130"/>
        <v>21198.174807387313</v>
      </c>
      <c r="HL111" s="5">
        <f t="shared" si="130"/>
        <v>21321.830827097074</v>
      </c>
      <c r="HM111" s="5">
        <f t="shared" si="130"/>
        <v>21446.208173588475</v>
      </c>
      <c r="HN111" s="5">
        <f t="shared" si="130"/>
        <v>21571.311054601076</v>
      </c>
      <c r="HO111" s="5">
        <f t="shared" si="130"/>
        <v>21697.143702419584</v>
      </c>
      <c r="HP111" s="5">
        <f t="shared" si="130"/>
        <v>21823.710374017031</v>
      </c>
      <c r="HQ111" s="5">
        <f t="shared" si="130"/>
        <v>21951.015351198799</v>
      </c>
      <c r="HR111" s="5">
        <f t="shared" si="130"/>
        <v>22079.062940747459</v>
      </c>
      <c r="HS111" s="5">
        <f t="shared" si="130"/>
        <v>22207.857474568485</v>
      </c>
      <c r="HT111" s="5">
        <f t="shared" si="130"/>
        <v>22337.403309836802</v>
      </c>
      <c r="HU111" s="5">
        <f t="shared" si="130"/>
        <v>22467.704829144182</v>
      </c>
      <c r="HV111" s="5">
        <f t="shared" si="130"/>
        <v>22598.766440647523</v>
      </c>
      <c r="HW111" s="5">
        <f t="shared" si="130"/>
        <v>22730.592578217969</v>
      </c>
      <c r="HX111" s="5">
        <f t="shared" si="130"/>
        <v>22863.187701590909</v>
      </c>
      <c r="HY111" s="5">
        <f t="shared" si="130"/>
        <v>22996.556296516857</v>
      </c>
      <c r="HZ111" s="5">
        <f t="shared" si="130"/>
        <v>23130.702874913208</v>
      </c>
      <c r="IA111" s="5">
        <f t="shared" si="130"/>
        <v>23265.63197501687</v>
      </c>
      <c r="IB111" s="5">
        <f t="shared" si="130"/>
        <v>23401.3481615378</v>
      </c>
      <c r="IC111" s="5">
        <f t="shared" si="130"/>
        <v>23537.856025813438</v>
      </c>
      <c r="ID111" s="5">
        <f t="shared" si="130"/>
        <v>23675.160185964018</v>
      </c>
      <c r="IE111" s="5">
        <f t="shared" si="130"/>
        <v>23813.265287048809</v>
      </c>
      <c r="IF111" s="5">
        <f t="shared" si="130"/>
        <v>23952.176001223263</v>
      </c>
      <c r="IG111" s="5">
        <f t="shared" si="130"/>
        <v>24091.897027897066</v>
      </c>
      <c r="IH111" s="5">
        <f t="shared" si="130"/>
        <v>24232.433093893134</v>
      </c>
      <c r="II111" s="5">
        <f t="shared" si="130"/>
        <v>24373.788953607513</v>
      </c>
      <c r="IJ111" s="5">
        <f t="shared" si="130"/>
        <v>24515.969389170223</v>
      </c>
      <c r="IK111" s="5">
        <f t="shared" si="130"/>
        <v>24658.979210607049</v>
      </c>
      <c r="IL111" s="5">
        <f t="shared" si="130"/>
        <v>24802.823256002259</v>
      </c>
      <c r="IM111" s="5">
        <f t="shared" si="130"/>
        <v>24947.506391662271</v>
      </c>
      <c r="IN111" s="5">
        <f t="shared" si="130"/>
        <v>25093.033512280301</v>
      </c>
      <c r="IO111" s="5">
        <f t="shared" si="130"/>
        <v>25239.409541101937</v>
      </c>
      <c r="IP111" s="5">
        <f t="shared" si="130"/>
        <v>25386.639430091698</v>
      </c>
      <c r="IQ111" s="5">
        <f t="shared" si="130"/>
        <v>25534.728160100567</v>
      </c>
      <c r="IR111" s="5">
        <f t="shared" si="130"/>
        <v>25683.680741034488</v>
      </c>
      <c r="IS111" s="5">
        <f t="shared" si="130"/>
        <v>25833.502212023857</v>
      </c>
      <c r="IT111" s="5">
        <f t="shared" si="130"/>
        <v>25984.197641593997</v>
      </c>
      <c r="IU111" s="5">
        <f t="shared" si="130"/>
        <v>26135.77212783663</v>
      </c>
      <c r="IV111" s="5">
        <f t="shared" si="130"/>
        <v>26288.230798582343</v>
      </c>
      <c r="IW111" s="5">
        <f t="shared" si="130"/>
        <v>26441.578811574072</v>
      </c>
      <c r="IX111" s="5">
        <f t="shared" si="130"/>
        <v>26595.82135464159</v>
      </c>
      <c r="IY111" s="5">
        <f t="shared" ref="IY111:LJ111" si="131">IF(IY95&lt;=$B$92, IX111*(1+$E$29/12), 0)</f>
        <v>26750.963645877</v>
      </c>
      <c r="IZ111" s="5">
        <f t="shared" si="131"/>
        <v>26907.010933811282</v>
      </c>
      <c r="JA111" s="5">
        <f t="shared" si="131"/>
        <v>27063.968497591846</v>
      </c>
      <c r="JB111" s="5">
        <f t="shared" si="131"/>
        <v>27221.841647161134</v>
      </c>
      <c r="JC111" s="5">
        <f t="shared" si="131"/>
        <v>27380.63572343624</v>
      </c>
      <c r="JD111" s="5">
        <f t="shared" si="131"/>
        <v>27540.356098489618</v>
      </c>
      <c r="JE111" s="5">
        <f t="shared" si="131"/>
        <v>27701.008175730807</v>
      </c>
      <c r="JF111" s="5">
        <f t="shared" si="131"/>
        <v>27862.597390089239</v>
      </c>
      <c r="JG111" s="5">
        <f t="shared" si="131"/>
        <v>28025.129208198094</v>
      </c>
      <c r="JH111" s="5">
        <f t="shared" si="131"/>
        <v>28188.60912857925</v>
      </c>
      <c r="JI111" s="5">
        <f t="shared" si="131"/>
        <v>28353.042681829294</v>
      </c>
      <c r="JJ111" s="5">
        <f t="shared" si="131"/>
        <v>28518.435430806632</v>
      </c>
      <c r="JK111" s="5">
        <f t="shared" si="131"/>
        <v>28684.792970819672</v>
      </c>
      <c r="JL111" s="5">
        <f t="shared" si="131"/>
        <v>28852.120929816119</v>
      </c>
      <c r="JM111" s="5">
        <f t="shared" si="131"/>
        <v>29020.424968573381</v>
      </c>
      <c r="JN111" s="5">
        <f t="shared" si="131"/>
        <v>29189.710780890058</v>
      </c>
      <c r="JO111" s="5">
        <f t="shared" si="131"/>
        <v>29359.984093778585</v>
      </c>
      <c r="JP111" s="5">
        <f t="shared" si="131"/>
        <v>29531.250667658962</v>
      </c>
      <c r="JQ111" s="5">
        <f t="shared" si="131"/>
        <v>29703.51629655364</v>
      </c>
      <c r="JR111" s="5">
        <f t="shared" si="131"/>
        <v>29876.786808283538</v>
      </c>
      <c r="JS111" s="5">
        <f t="shared" si="131"/>
        <v>30051.068064665193</v>
      </c>
      <c r="JT111" s="5">
        <f t="shared" si="131"/>
        <v>30226.365961709074</v>
      </c>
      <c r="JU111" s="5">
        <f t="shared" si="131"/>
        <v>30402.686429819045</v>
      </c>
      <c r="JV111" s="5">
        <f t="shared" si="131"/>
        <v>30580.035433992991</v>
      </c>
      <c r="JW111" s="5">
        <f t="shared" si="131"/>
        <v>30758.418974024618</v>
      </c>
      <c r="JX111" s="5">
        <f t="shared" si="131"/>
        <v>30937.84308470643</v>
      </c>
      <c r="JY111" s="5">
        <f t="shared" si="131"/>
        <v>31118.313836033885</v>
      </c>
      <c r="JZ111" s="5">
        <f t="shared" si="131"/>
        <v>31299.837333410749</v>
      </c>
      <c r="KA111" s="5">
        <f t="shared" si="131"/>
        <v>31482.419717855646</v>
      </c>
      <c r="KB111" s="5">
        <f t="shared" si="131"/>
        <v>31666.067166209803</v>
      </c>
      <c r="KC111" s="5">
        <f t="shared" si="131"/>
        <v>31850.785891346026</v>
      </c>
      <c r="KD111" s="5">
        <f t="shared" si="131"/>
        <v>32036.58214237888</v>
      </c>
      <c r="KE111" s="5">
        <f t="shared" si="131"/>
        <v>32223.46220487609</v>
      </c>
      <c r="KF111" s="5">
        <f t="shared" si="131"/>
        <v>32411.432401071201</v>
      </c>
      <c r="KG111" s="5">
        <f t="shared" si="131"/>
        <v>32600.49909007745</v>
      </c>
      <c r="KH111" s="5">
        <f t="shared" si="131"/>
        <v>32790.668668102902</v>
      </c>
      <c r="KI111" s="5">
        <f t="shared" si="131"/>
        <v>32981.947568666837</v>
      </c>
      <c r="KJ111" s="5">
        <f t="shared" si="131"/>
        <v>33174.342262817394</v>
      </c>
      <c r="KK111" s="5">
        <f t="shared" si="131"/>
        <v>33367.859259350495</v>
      </c>
      <c r="KL111" s="5">
        <f t="shared" si="131"/>
        <v>33562.505105030039</v>
      </c>
      <c r="KM111" s="5">
        <f t="shared" si="131"/>
        <v>33758.286384809384</v>
      </c>
      <c r="KN111" s="5">
        <f t="shared" si="131"/>
        <v>33955.209722054104</v>
      </c>
      <c r="KO111" s="5">
        <f t="shared" si="131"/>
        <v>34153.28177876609</v>
      </c>
      <c r="KP111" s="5">
        <f t="shared" si="131"/>
        <v>34352.509255808895</v>
      </c>
      <c r="KQ111" s="5">
        <f t="shared" si="131"/>
        <v>34552.89889313445</v>
      </c>
      <c r="KR111" s="5">
        <f t="shared" si="131"/>
        <v>34754.457470011068</v>
      </c>
      <c r="KS111" s="5">
        <f t="shared" si="131"/>
        <v>34957.191805252798</v>
      </c>
      <c r="KT111" s="5">
        <f t="shared" si="131"/>
        <v>35161.108757450107</v>
      </c>
      <c r="KU111" s="5">
        <f t="shared" si="131"/>
        <v>35366.2152252019</v>
      </c>
      <c r="KV111" s="5">
        <f t="shared" si="131"/>
        <v>35572.518147348914</v>
      </c>
      <c r="KW111" s="5">
        <f t="shared" si="131"/>
        <v>35780.024503208449</v>
      </c>
      <c r="KX111" s="5">
        <f t="shared" si="131"/>
        <v>35988.741312810496</v>
      </c>
      <c r="KY111" s="5">
        <f t="shared" si="131"/>
        <v>36198.675637135224</v>
      </c>
      <c r="KZ111" s="5">
        <f t="shared" si="131"/>
        <v>36409.834578351845</v>
      </c>
      <c r="LA111" s="5">
        <f t="shared" si="131"/>
        <v>36622.225280058898</v>
      </c>
      <c r="LB111" s="5">
        <f t="shared" si="131"/>
        <v>36835.854927525907</v>
      </c>
      <c r="LC111" s="5">
        <f t="shared" si="131"/>
        <v>37050.730747936475</v>
      </c>
      <c r="LD111" s="5">
        <f t="shared" si="131"/>
        <v>37266.860010632772</v>
      </c>
      <c r="LE111" s="5">
        <f t="shared" si="131"/>
        <v>37484.250027361464</v>
      </c>
      <c r="LF111" s="5">
        <f t="shared" si="131"/>
        <v>37702.908152521071</v>
      </c>
      <c r="LG111" s="5">
        <f t="shared" si="131"/>
        <v>37922.841783410775</v>
      </c>
      <c r="LH111" s="5">
        <f t="shared" si="131"/>
        <v>38144.058360480674</v>
      </c>
      <c r="LI111" s="5">
        <f t="shared" si="131"/>
        <v>38366.565367583476</v>
      </c>
      <c r="LJ111" s="5">
        <f t="shared" si="131"/>
        <v>38590.370332227714</v>
      </c>
      <c r="LK111" s="5">
        <f t="shared" ref="LK111:NV111" si="132">IF(LK95&lt;=$B$92, LJ111*(1+$E$29/12), 0)</f>
        <v>38815.480825832376</v>
      </c>
      <c r="LL111" s="5">
        <f t="shared" si="132"/>
        <v>39041.904463983068</v>
      </c>
      <c r="LM111" s="5">
        <f t="shared" si="132"/>
        <v>39269.648906689639</v>
      </c>
      <c r="LN111" s="5">
        <f t="shared" si="132"/>
        <v>39498.721858645331</v>
      </c>
      <c r="LO111" s="5">
        <f t="shared" si="132"/>
        <v>39729.131069487426</v>
      </c>
      <c r="LP111" s="5">
        <f t="shared" si="132"/>
        <v>39960.884334059439</v>
      </c>
      <c r="LQ111" s="5">
        <f t="shared" si="132"/>
        <v>40193.989492674787</v>
      </c>
      <c r="LR111" s="5">
        <f t="shared" si="132"/>
        <v>40428.454431382059</v>
      </c>
      <c r="LS111" s="5">
        <f t="shared" si="132"/>
        <v>40664.287082231785</v>
      </c>
      <c r="LT111" s="5">
        <f t="shared" si="132"/>
        <v>40901.495423544802</v>
      </c>
      <c r="LU111" s="5">
        <f t="shared" si="132"/>
        <v>41140.087480182148</v>
      </c>
      <c r="LV111" s="5">
        <f t="shared" si="132"/>
        <v>41380.071323816548</v>
      </c>
      <c r="LW111" s="5">
        <f t="shared" si="132"/>
        <v>41621.455073205478</v>
      </c>
      <c r="LX111" s="5">
        <f t="shared" si="132"/>
        <v>41864.246894465847</v>
      </c>
      <c r="LY111" s="5">
        <f t="shared" si="132"/>
        <v>42108.45500135023</v>
      </c>
      <c r="LZ111" s="5">
        <f t="shared" si="132"/>
        <v>42354.087655524774</v>
      </c>
      <c r="MA111" s="5">
        <f t="shared" si="132"/>
        <v>42601.153166848671</v>
      </c>
      <c r="MB111" s="5">
        <f t="shared" si="132"/>
        <v>42849.659893655291</v>
      </c>
      <c r="MC111" s="5">
        <f t="shared" si="132"/>
        <v>43099.61624303495</v>
      </c>
      <c r="MD111" s="5">
        <f t="shared" si="132"/>
        <v>43351.030671119319</v>
      </c>
      <c r="ME111" s="5">
        <f t="shared" si="132"/>
        <v>43603.911683367514</v>
      </c>
      <c r="MF111" s="5">
        <f t="shared" si="132"/>
        <v>43858.267834853825</v>
      </c>
      <c r="MG111" s="5">
        <f t="shared" si="132"/>
        <v>44114.107730557138</v>
      </c>
      <c r="MH111" s="5">
        <f t="shared" si="132"/>
        <v>44371.440025652053</v>
      </c>
      <c r="MI111" s="5">
        <f t="shared" si="132"/>
        <v>44630.273425801694</v>
      </c>
      <c r="MJ111" s="5">
        <f t="shared" si="132"/>
        <v>44890.616687452202</v>
      </c>
      <c r="MK111" s="5">
        <f t="shared" si="132"/>
        <v>45152.478618129011</v>
      </c>
      <c r="ML111" s="5">
        <f t="shared" si="132"/>
        <v>45415.868076734761</v>
      </c>
      <c r="MM111" s="5">
        <f t="shared" si="132"/>
        <v>45680.793973849046</v>
      </c>
      <c r="MN111" s="5">
        <f t="shared" si="132"/>
        <v>45947.265272029836</v>
      </c>
      <c r="MO111" s="5">
        <f t="shared" si="132"/>
        <v>46215.290986116677</v>
      </c>
      <c r="MP111" s="5">
        <f t="shared" si="132"/>
        <v>46484.880183535694</v>
      </c>
      <c r="MQ111" s="5">
        <f t="shared" si="132"/>
        <v>46756.041984606316</v>
      </c>
      <c r="MR111" s="5">
        <f t="shared" si="132"/>
        <v>47028.785562849851</v>
      </c>
      <c r="MS111" s="5">
        <f t="shared" si="132"/>
        <v>47303.120145299807</v>
      </c>
      <c r="MT111" s="5">
        <f t="shared" si="132"/>
        <v>47579.055012814053</v>
      </c>
      <c r="MU111" s="5">
        <f t="shared" si="132"/>
        <v>47856.599500388802</v>
      </c>
      <c r="MV111" s="5">
        <f t="shared" si="132"/>
        <v>48135.762997474405</v>
      </c>
      <c r="MW111" s="5">
        <f t="shared" si="132"/>
        <v>48416.554948293007</v>
      </c>
      <c r="MX111" s="5">
        <f t="shared" si="132"/>
        <v>48698.98485215805</v>
      </c>
      <c r="MY111" s="5">
        <f t="shared" si="132"/>
        <v>0</v>
      </c>
      <c r="MZ111" s="5">
        <f t="shared" si="132"/>
        <v>0</v>
      </c>
      <c r="NA111" s="5">
        <f t="shared" si="132"/>
        <v>0</v>
      </c>
      <c r="NB111" s="5">
        <f t="shared" si="132"/>
        <v>0</v>
      </c>
      <c r="NC111" s="5">
        <f t="shared" si="132"/>
        <v>0</v>
      </c>
      <c r="ND111" s="5">
        <f t="shared" si="132"/>
        <v>0</v>
      </c>
      <c r="NE111" s="5">
        <f t="shared" si="132"/>
        <v>0</v>
      </c>
      <c r="NF111" s="5">
        <f t="shared" si="132"/>
        <v>0</v>
      </c>
      <c r="NG111" s="5">
        <f t="shared" si="132"/>
        <v>0</v>
      </c>
      <c r="NH111" s="5">
        <f t="shared" si="132"/>
        <v>0</v>
      </c>
      <c r="NI111" s="5">
        <f t="shared" si="132"/>
        <v>0</v>
      </c>
      <c r="NJ111" s="5">
        <f t="shared" si="132"/>
        <v>0</v>
      </c>
      <c r="NK111" s="5">
        <f t="shared" si="132"/>
        <v>0</v>
      </c>
      <c r="NL111" s="5">
        <f t="shared" si="132"/>
        <v>0</v>
      </c>
      <c r="NM111" s="5">
        <f t="shared" si="132"/>
        <v>0</v>
      </c>
      <c r="NN111" s="5">
        <f t="shared" si="132"/>
        <v>0</v>
      </c>
      <c r="NO111" s="5">
        <f t="shared" si="132"/>
        <v>0</v>
      </c>
      <c r="NP111" s="5">
        <f t="shared" si="132"/>
        <v>0</v>
      </c>
      <c r="NQ111" s="5">
        <f t="shared" si="132"/>
        <v>0</v>
      </c>
      <c r="NR111" s="5">
        <f t="shared" si="132"/>
        <v>0</v>
      </c>
      <c r="NS111" s="5">
        <f t="shared" si="132"/>
        <v>0</v>
      </c>
      <c r="NT111" s="5">
        <f t="shared" si="132"/>
        <v>0</v>
      </c>
      <c r="NU111" s="5">
        <f t="shared" si="132"/>
        <v>0</v>
      </c>
      <c r="NV111" s="5">
        <f t="shared" si="132"/>
        <v>0</v>
      </c>
      <c r="NW111" s="5">
        <f t="shared" ref="NW111:PF111" si="133">IF(NW95&lt;=$B$92, NV111*(1+$E$29/12), 0)</f>
        <v>0</v>
      </c>
      <c r="NX111" s="5">
        <f t="shared" si="133"/>
        <v>0</v>
      </c>
      <c r="NY111" s="5">
        <f t="shared" si="133"/>
        <v>0</v>
      </c>
      <c r="NZ111" s="5">
        <f t="shared" si="133"/>
        <v>0</v>
      </c>
      <c r="OA111" s="5">
        <f t="shared" si="133"/>
        <v>0</v>
      </c>
      <c r="OB111" s="5">
        <f t="shared" si="133"/>
        <v>0</v>
      </c>
      <c r="OC111" s="5">
        <f t="shared" si="133"/>
        <v>0</v>
      </c>
      <c r="OD111" s="5">
        <f t="shared" si="133"/>
        <v>0</v>
      </c>
      <c r="OE111" s="5">
        <f t="shared" si="133"/>
        <v>0</v>
      </c>
      <c r="OF111" s="5">
        <f t="shared" si="133"/>
        <v>0</v>
      </c>
      <c r="OG111" s="5">
        <f t="shared" si="133"/>
        <v>0</v>
      </c>
      <c r="OH111" s="5">
        <f t="shared" si="133"/>
        <v>0</v>
      </c>
      <c r="OI111" s="5">
        <f t="shared" si="133"/>
        <v>0</v>
      </c>
      <c r="OJ111" s="5">
        <f t="shared" si="133"/>
        <v>0</v>
      </c>
      <c r="OK111" s="5">
        <f t="shared" si="133"/>
        <v>0</v>
      </c>
      <c r="OL111" s="5">
        <f t="shared" si="133"/>
        <v>0</v>
      </c>
      <c r="OM111" s="5">
        <f t="shared" si="133"/>
        <v>0</v>
      </c>
      <c r="ON111" s="5">
        <f t="shared" si="133"/>
        <v>0</v>
      </c>
      <c r="OO111" s="5">
        <f t="shared" si="133"/>
        <v>0</v>
      </c>
      <c r="OP111" s="5">
        <f t="shared" si="133"/>
        <v>0</v>
      </c>
      <c r="OQ111" s="5">
        <f t="shared" si="133"/>
        <v>0</v>
      </c>
      <c r="OR111" s="5">
        <f t="shared" si="133"/>
        <v>0</v>
      </c>
      <c r="OS111" s="5">
        <f t="shared" si="133"/>
        <v>0</v>
      </c>
      <c r="OT111" s="5">
        <f t="shared" si="133"/>
        <v>0</v>
      </c>
      <c r="OU111" s="5">
        <f t="shared" si="133"/>
        <v>0</v>
      </c>
      <c r="OV111" s="5">
        <f t="shared" si="133"/>
        <v>0</v>
      </c>
      <c r="OW111" s="5">
        <f t="shared" si="133"/>
        <v>0</v>
      </c>
      <c r="OX111" s="5">
        <f t="shared" si="133"/>
        <v>0</v>
      </c>
      <c r="OY111" s="5">
        <f t="shared" si="133"/>
        <v>0</v>
      </c>
      <c r="OZ111" s="5">
        <f t="shared" si="133"/>
        <v>0</v>
      </c>
      <c r="PA111" s="5">
        <f t="shared" si="133"/>
        <v>0</v>
      </c>
      <c r="PB111" s="5">
        <f t="shared" si="133"/>
        <v>0</v>
      </c>
      <c r="PC111" s="5">
        <f t="shared" si="133"/>
        <v>0</v>
      </c>
      <c r="PD111" s="5">
        <f t="shared" si="133"/>
        <v>0</v>
      </c>
      <c r="PE111" s="5">
        <f t="shared" si="133"/>
        <v>0</v>
      </c>
      <c r="PF111" s="5">
        <f t="shared" si="133"/>
        <v>0</v>
      </c>
    </row>
    <row r="112" spans="1:422" hidden="1">
      <c r="A112" s="6"/>
      <c r="C112" s="18"/>
    </row>
    <row r="113" spans="1:422" hidden="1">
      <c r="A113" s="6" t="s">
        <v>64</v>
      </c>
      <c r="C113" s="18">
        <f t="shared" ref="C113:BN113" si="134">-(C102-C108-C109+C111)</f>
        <v>-62701.666666666657</v>
      </c>
      <c r="D113" s="5">
        <f t="shared" si="134"/>
        <v>-62652.154901146438</v>
      </c>
      <c r="E113" s="5">
        <f t="shared" si="134"/>
        <v>-62602.071930553408</v>
      </c>
      <c r="F113" s="5">
        <f t="shared" si="134"/>
        <v>-62551.411834315579</v>
      </c>
      <c r="G113" s="5">
        <f t="shared" si="134"/>
        <v>-62500.168633596011</v>
      </c>
      <c r="H113" s="5">
        <f t="shared" si="134"/>
        <v>-62448.336290735424</v>
      </c>
      <c r="I113" s="5">
        <f t="shared" si="134"/>
        <v>-62395.908708689516</v>
      </c>
      <c r="J113" s="5">
        <f t="shared" si="134"/>
        <v>-62342.879730461049</v>
      </c>
      <c r="K113" s="5">
        <f t="shared" si="134"/>
        <v>-62289.24313852661</v>
      </c>
      <c r="L113" s="5">
        <f t="shared" si="134"/>
        <v>-62234.992654257905</v>
      </c>
      <c r="M113" s="5">
        <f t="shared" si="134"/>
        <v>-62180.121937337703</v>
      </c>
      <c r="N113" s="5">
        <f t="shared" si="134"/>
        <v>-62124.624585170168</v>
      </c>
      <c r="O113" s="5">
        <f t="shared" si="134"/>
        <v>-62068.494132285785</v>
      </c>
      <c r="P113" s="5">
        <f t="shared" si="134"/>
        <v>-62011.724049740507</v>
      </c>
      <c r="Q113" s="5">
        <f t="shared" si="134"/>
        <v>-61954.307744509511</v>
      </c>
      <c r="R113" s="5">
        <f t="shared" si="134"/>
        <v>-61896.238558874946</v>
      </c>
      <c r="S113" s="5">
        <f t="shared" si="134"/>
        <v>-61837.509769808225</v>
      </c>
      <c r="T113" s="5">
        <f t="shared" si="134"/>
        <v>-61778.114588346238</v>
      </c>
      <c r="U113" s="5">
        <f t="shared" si="134"/>
        <v>-61718.046158961915</v>
      </c>
      <c r="V113" s="5">
        <f t="shared" si="134"/>
        <v>-61657.297558928767</v>
      </c>
      <c r="W113" s="5">
        <f t="shared" si="134"/>
        <v>-61595.861797679485</v>
      </c>
      <c r="X113" s="5">
        <f t="shared" si="134"/>
        <v>-61533.731816158463</v>
      </c>
      <c r="Y113" s="5">
        <f t="shared" si="134"/>
        <v>-61470.900486168277</v>
      </c>
      <c r="Z113" s="5">
        <f t="shared" si="134"/>
        <v>-61407.360609710093</v>
      </c>
      <c r="AA113" s="5">
        <f t="shared" si="134"/>
        <v>-61343.104918317717</v>
      </c>
      <c r="AB113" s="5">
        <f t="shared" si="134"/>
        <v>-61278.12607238553</v>
      </c>
      <c r="AC113" s="5">
        <f t="shared" si="134"/>
        <v>-61212.41666049006</v>
      </c>
      <c r="AD113" s="5">
        <f t="shared" si="134"/>
        <v>-61145.969198705148</v>
      </c>
      <c r="AE113" s="5">
        <f t="shared" si="134"/>
        <v>-61078.776129910686</v>
      </c>
      <c r="AF113" s="5">
        <f t="shared" si="134"/>
        <v>-61010.829823095031</v>
      </c>
      <c r="AG113" s="5">
        <f t="shared" si="134"/>
        <v>-60942.122572650529</v>
      </c>
      <c r="AH113" s="5">
        <f t="shared" si="134"/>
        <v>-60872.646597662781</v>
      </c>
      <c r="AI113" s="5">
        <f t="shared" si="134"/>
        <v>-60802.394041193002</v>
      </c>
      <c r="AJ113" s="5">
        <f t="shared" si="134"/>
        <v>-60731.35696955373</v>
      </c>
      <c r="AK113" s="5">
        <f t="shared" si="134"/>
        <v>-60763.056115160936</v>
      </c>
      <c r="AL113" s="5">
        <f t="shared" si="134"/>
        <v>-60805.958248279443</v>
      </c>
      <c r="AM113" s="5">
        <f t="shared" si="134"/>
        <v>-60849.110643841137</v>
      </c>
      <c r="AN113" s="5">
        <f t="shared" si="134"/>
        <v>-60892.51476171027</v>
      </c>
      <c r="AO113" s="5">
        <f t="shared" si="134"/>
        <v>-60936.172070266977</v>
      </c>
      <c r="AP113" s="5">
        <f t="shared" si="134"/>
        <v>-60980.084046456926</v>
      </c>
      <c r="AQ113" s="5">
        <f t="shared" si="134"/>
        <v>-61024.25217584132</v>
      </c>
      <c r="AR113" s="5">
        <f t="shared" si="134"/>
        <v>-61068.677952647129</v>
      </c>
      <c r="AS113" s="5">
        <f t="shared" si="134"/>
        <v>-61113.362879817629</v>
      </c>
      <c r="AT113" s="5">
        <f t="shared" si="134"/>
        <v>-61158.308469063297</v>
      </c>
      <c r="AU113" s="5">
        <f t="shared" si="134"/>
        <v>-61203.516240912897</v>
      </c>
      <c r="AV113" s="5">
        <f t="shared" si="134"/>
        <v>-61248.987724764949</v>
      </c>
      <c r="AW113" s="5">
        <f t="shared" si="134"/>
        <v>-61294.724458939476</v>
      </c>
      <c r="AX113" s="5">
        <f t="shared" si="134"/>
        <v>-61340.727990730018</v>
      </c>
      <c r="AY113" s="5">
        <f t="shared" si="134"/>
        <v>-61386.999876456008</v>
      </c>
      <c r="AZ113" s="5">
        <f t="shared" si="134"/>
        <v>-61433.541681515395</v>
      </c>
      <c r="BA113" s="5">
        <f t="shared" si="134"/>
        <v>-61480.354980437631</v>
      </c>
      <c r="BB113" s="5">
        <f t="shared" si="134"/>
        <v>-61527.441356936914</v>
      </c>
      <c r="BC113" s="5">
        <f t="shared" si="134"/>
        <v>-61574.802403965776</v>
      </c>
      <c r="BD113" s="5">
        <f t="shared" si="134"/>
        <v>-61622.43972376897</v>
      </c>
      <c r="BE113" s="5">
        <f t="shared" si="134"/>
        <v>-61670.354927937689</v>
      </c>
      <c r="BF113" s="5">
        <f t="shared" si="134"/>
        <v>-61718.54963746405</v>
      </c>
      <c r="BG113" s="5">
        <f t="shared" si="134"/>
        <v>-61767.025482795987</v>
      </c>
      <c r="BH113" s="5">
        <f t="shared" si="134"/>
        <v>-61815.784103892358</v>
      </c>
      <c r="BI113" s="5">
        <f t="shared" si="134"/>
        <v>-61864.827150278463</v>
      </c>
      <c r="BJ113" s="5">
        <f t="shared" si="134"/>
        <v>-61914.156281101816</v>
      </c>
      <c r="BK113" s="5">
        <f t="shared" si="134"/>
        <v>-61963.773165188308</v>
      </c>
      <c r="BL113" s="5">
        <f t="shared" si="134"/>
        <v>-62013.679481098632</v>
      </c>
      <c r="BM113" s="5">
        <f t="shared" si="134"/>
        <v>-62063.876917185102</v>
      </c>
      <c r="BN113" s="5">
        <f t="shared" si="134"/>
        <v>-62114.367171648744</v>
      </c>
      <c r="BO113" s="5">
        <f t="shared" ref="BO113:DZ113" si="135">-(BO102-BO108-BO109+BO111)</f>
        <v>-62165.15195259676</v>
      </c>
      <c r="BP113" s="5">
        <f t="shared" si="135"/>
        <v>-62216.232978100306</v>
      </c>
      <c r="BQ113" s="5">
        <f t="shared" si="135"/>
        <v>-62267.611976252621</v>
      </c>
      <c r="BR113" s="5">
        <f t="shared" si="135"/>
        <v>-62319.29068522749</v>
      </c>
      <c r="BS113" s="5">
        <f t="shared" si="135"/>
        <v>-62371.270853338043</v>
      </c>
      <c r="BT113" s="5">
        <f t="shared" si="135"/>
        <v>-62423.554239095916</v>
      </c>
      <c r="BU113" s="5">
        <f t="shared" si="135"/>
        <v>-62476.142611270698</v>
      </c>
      <c r="BV113" s="5">
        <f t="shared" si="135"/>
        <v>-62529.037748949842</v>
      </c>
      <c r="BW113" s="5">
        <f t="shared" si="135"/>
        <v>-62582.241441598781</v>
      </c>
      <c r="BX113" s="5">
        <f t="shared" si="135"/>
        <v>-62635.755489121497</v>
      </c>
      <c r="BY113" s="5">
        <f t="shared" si="135"/>
        <v>-62689.581701921437</v>
      </c>
      <c r="BZ113" s="5">
        <f t="shared" si="135"/>
        <v>-62743.721900962708</v>
      </c>
      <c r="CA113" s="5">
        <f t="shared" si="135"/>
        <v>-62798.177917831723</v>
      </c>
      <c r="CB113" s="5">
        <f t="shared" si="135"/>
        <v>-62852.951594799131</v>
      </c>
      <c r="CC113" s="5">
        <f t="shared" si="135"/>
        <v>-62908.044784882193</v>
      </c>
      <c r="CD113" s="5">
        <f t="shared" si="135"/>
        <v>-62963.459351907404</v>
      </c>
      <c r="CE113" s="5">
        <f t="shared" si="135"/>
        <v>-63019.197170573592</v>
      </c>
      <c r="CF113" s="5">
        <f t="shared" si="135"/>
        <v>-63075.260126515335</v>
      </c>
      <c r="CG113" s="5">
        <f t="shared" si="135"/>
        <v>-63131.650116366734</v>
      </c>
      <c r="CH113" s="5">
        <f t="shared" si="135"/>
        <v>-63188.369047825603</v>
      </c>
      <c r="CI113" s="5">
        <f t="shared" si="135"/>
        <v>-63245.418839717982</v>
      </c>
      <c r="CJ113" s="5">
        <f t="shared" si="135"/>
        <v>-63302.801422063072</v>
      </c>
      <c r="CK113" s="5">
        <f t="shared" si="135"/>
        <v>-63360.518736138503</v>
      </c>
      <c r="CL113" s="5">
        <f t="shared" si="135"/>
        <v>-63418.572734546033</v>
      </c>
      <c r="CM113" s="5">
        <f t="shared" si="135"/>
        <v>-63476.965381277616</v>
      </c>
      <c r="CN113" s="5">
        <f t="shared" si="135"/>
        <v>-63535.6986517818</v>
      </c>
      <c r="CO113" s="5">
        <f t="shared" si="135"/>
        <v>-63594.774533030592</v>
      </c>
      <c r="CP113" s="5">
        <f t="shared" si="135"/>
        <v>-63654.195023586668</v>
      </c>
      <c r="CQ113" s="5">
        <f t="shared" si="135"/>
        <v>-63713.962133670982</v>
      </c>
      <c r="CR113" s="5">
        <f t="shared" si="135"/>
        <v>-63774.077885230792</v>
      </c>
      <c r="CS113" s="5">
        <f t="shared" si="135"/>
        <v>-63834.544312008031</v>
      </c>
      <c r="CT113" s="5">
        <f t="shared" si="135"/>
        <v>-63895.363459608147</v>
      </c>
      <c r="CU113" s="5">
        <f t="shared" si="135"/>
        <v>-63956.537385569252</v>
      </c>
      <c r="CV113" s="5">
        <f t="shared" si="135"/>
        <v>-64018.068159431801</v>
      </c>
      <c r="CW113" s="5">
        <f t="shared" si="135"/>
        <v>-64079.957862808551</v>
      </c>
      <c r="CX113" s="5">
        <f t="shared" si="135"/>
        <v>-64142.208589454996</v>
      </c>
      <c r="CY113" s="5">
        <f t="shared" si="135"/>
        <v>-64204.822445340214</v>
      </c>
      <c r="CZ113" s="5">
        <f t="shared" si="135"/>
        <v>-64267.801548718096</v>
      </c>
      <c r="DA113" s="5">
        <f t="shared" si="135"/>
        <v>-64331.148030199009</v>
      </c>
      <c r="DB113" s="5">
        <f t="shared" si="135"/>
        <v>-64394.864032821904</v>
      </c>
      <c r="DC113" s="5">
        <f t="shared" si="135"/>
        <v>-64458.951712126756</v>
      </c>
      <c r="DD113" s="5">
        <f t="shared" si="135"/>
        <v>-64523.413236227563</v>
      </c>
      <c r="DE113" s="5">
        <f t="shared" si="135"/>
        <v>-64588.250785885619</v>
      </c>
      <c r="DF113" s="5">
        <f t="shared" si="135"/>
        <v>-64653.466554583349</v>
      </c>
      <c r="DG113" s="5">
        <f t="shared" si="135"/>
        <v>-64719.062748598481</v>
      </c>
      <c r="DH113" s="5">
        <f t="shared" si="135"/>
        <v>-64785.041587078696</v>
      </c>
      <c r="DI113" s="5">
        <f t="shared" si="135"/>
        <v>-64851.40530211672</v>
      </c>
      <c r="DJ113" s="5">
        <f t="shared" si="135"/>
        <v>-64918.156138825798</v>
      </c>
      <c r="DK113" s="5">
        <f t="shared" si="135"/>
        <v>-64985.296355415674</v>
      </c>
      <c r="DL113" s="5">
        <f t="shared" si="135"/>
        <v>-65052.828223268996</v>
      </c>
      <c r="DM113" s="5">
        <f t="shared" si="135"/>
        <v>-65120.754027018134</v>
      </c>
      <c r="DN113" s="5">
        <f t="shared" si="135"/>
        <v>-65189.076064622466</v>
      </c>
      <c r="DO113" s="5">
        <f t="shared" si="135"/>
        <v>-65257.796647446157</v>
      </c>
      <c r="DP113" s="5">
        <f t="shared" si="135"/>
        <v>-65326.918100336326</v>
      </c>
      <c r="DQ113" s="5">
        <f t="shared" si="135"/>
        <v>-65396.442761701685</v>
      </c>
      <c r="DR113" s="5">
        <f t="shared" si="135"/>
        <v>-65466.372983591675</v>
      </c>
      <c r="DS113" s="5">
        <f t="shared" si="135"/>
        <v>-65536.711131776014</v>
      </c>
      <c r="DT113" s="5">
        <f t="shared" si="135"/>
        <v>-65607.459585824778</v>
      </c>
      <c r="DU113" s="5">
        <f t="shared" si="135"/>
        <v>-65678.620739188817</v>
      </c>
      <c r="DV113" s="5">
        <f t="shared" si="135"/>
        <v>-65750.196999280815</v>
      </c>
      <c r="DW113" s="5">
        <f t="shared" si="135"/>
        <v>-65822.190787556683</v>
      </c>
      <c r="DX113" s="5">
        <f t="shared" si="135"/>
        <v>-65894.604539597494</v>
      </c>
      <c r="DY113" s="5">
        <f t="shared" si="135"/>
        <v>-65967.440705191868</v>
      </c>
      <c r="DZ113" s="5">
        <f t="shared" si="135"/>
        <v>-66040.701748418884</v>
      </c>
      <c r="EA113" s="5">
        <f t="shared" ref="EA113:GL113" si="136">-(EA102-EA108-EA109+EA111)</f>
        <v>-66114.390147731392</v>
      </c>
      <c r="EB113" s="5">
        <f t="shared" si="136"/>
        <v>-66188.508396039892</v>
      </c>
      <c r="EC113" s="5">
        <f t="shared" si="136"/>
        <v>-66263.059000796857</v>
      </c>
      <c r="ED113" s="5">
        <f t="shared" si="136"/>
        <v>-66338.044484081562</v>
      </c>
      <c r="EE113" s="5">
        <f t="shared" si="136"/>
        <v>-66413.467382685427</v>
      </c>
      <c r="EF113" s="5">
        <f t="shared" si="136"/>
        <v>-66489.330248197832</v>
      </c>
      <c r="EG113" s="5">
        <f t="shared" si="136"/>
        <v>-66565.635647092378</v>
      </c>
      <c r="EH113" s="5">
        <f t="shared" si="136"/>
        <v>-66642.38616081381</v>
      </c>
      <c r="EI113" s="5">
        <f t="shared" si="136"/>
        <v>-66719.584385865295</v>
      </c>
      <c r="EJ113" s="5">
        <f t="shared" si="136"/>
        <v>-66797.23293389623</v>
      </c>
      <c r="EK113" s="5">
        <f t="shared" si="136"/>
        <v>-66875.334431790689</v>
      </c>
      <c r="EL113" s="5">
        <f t="shared" si="136"/>
        <v>-66953.891521756203</v>
      </c>
      <c r="EM113" s="5">
        <f t="shared" si="136"/>
        <v>-67032.906861413168</v>
      </c>
      <c r="EN113" s="5">
        <f t="shared" si="136"/>
        <v>-67112.383123884822</v>
      </c>
      <c r="EO113" s="5">
        <f t="shared" si="136"/>
        <v>-67192.322997887532</v>
      </c>
      <c r="EP113" s="5">
        <f t="shared" si="136"/>
        <v>-67272.72918782194</v>
      </c>
      <c r="EQ113" s="5">
        <f t="shared" si="136"/>
        <v>-67353.604413864305</v>
      </c>
      <c r="ER113" s="5">
        <f t="shared" si="136"/>
        <v>-67434.951412058581</v>
      </c>
      <c r="ES113" s="5">
        <f t="shared" si="136"/>
        <v>-67516.772934408975</v>
      </c>
      <c r="ET113" s="5">
        <f t="shared" si="136"/>
        <v>-67599.071748973089</v>
      </c>
      <c r="EU113" s="5">
        <f t="shared" si="136"/>
        <v>-67681.850639955504</v>
      </c>
      <c r="EV113" s="5">
        <f t="shared" si="136"/>
        <v>-67765.112407801964</v>
      </c>
      <c r="EW113" s="5">
        <f t="shared" si="136"/>
        <v>-67848.859869294218</v>
      </c>
      <c r="EX113" s="5">
        <f t="shared" si="136"/>
        <v>-67933.095857645152</v>
      </c>
      <c r="EY113" s="5">
        <f t="shared" si="136"/>
        <v>-68017.823222594816</v>
      </c>
      <c r="EZ113" s="5">
        <f t="shared" si="136"/>
        <v>-68103.044830506682</v>
      </c>
      <c r="FA113" s="5">
        <f t="shared" si="136"/>
        <v>-68188.763564464694</v>
      </c>
      <c r="FB113" s="5">
        <f t="shared" si="136"/>
        <v>-68274.982324370809</v>
      </c>
      <c r="FC113" s="5">
        <f t="shared" si="136"/>
        <v>-68361.70402704303</v>
      </c>
      <c r="FD113" s="5">
        <f t="shared" si="136"/>
        <v>-68448.931606314189</v>
      </c>
      <c r="FE113" s="5">
        <f t="shared" si="136"/>
        <v>-68536.668013131071</v>
      </c>
      <c r="FF113" s="5">
        <f t="shared" si="136"/>
        <v>-68624.916215654404</v>
      </c>
      <c r="FG113" s="5">
        <f t="shared" si="136"/>
        <v>-68713.679199359118</v>
      </c>
      <c r="FH113" s="5">
        <f t="shared" si="136"/>
        <v>-68802.959967135452</v>
      </c>
      <c r="FI113" s="5">
        <f t="shared" si="136"/>
        <v>-68892.761539390456</v>
      </c>
      <c r="FJ113" s="5">
        <f t="shared" si="136"/>
        <v>-68983.086954150305</v>
      </c>
      <c r="FK113" s="5">
        <f t="shared" si="136"/>
        <v>-69073.939267162903</v>
      </c>
      <c r="FL113" s="5">
        <f t="shared" si="136"/>
        <v>-69165.32155200142</v>
      </c>
      <c r="FM113" s="5">
        <f t="shared" si="136"/>
        <v>-69257.236900168165</v>
      </c>
      <c r="FN113" s="5">
        <f t="shared" si="136"/>
        <v>-69349.6884211992</v>
      </c>
      <c r="FO113" s="5">
        <f t="shared" si="136"/>
        <v>-69442.679242769591</v>
      </c>
      <c r="FP113" s="5">
        <f t="shared" si="136"/>
        <v>-69536.212510799145</v>
      </c>
      <c r="FQ113" s="5">
        <f t="shared" si="136"/>
        <v>-69630.291389558872</v>
      </c>
      <c r="FR113" s="5">
        <f t="shared" si="136"/>
        <v>-69724.919061778026</v>
      </c>
      <c r="FS113" s="5">
        <f t="shared" si="136"/>
        <v>-69820.098728751793</v>
      </c>
      <c r="FT113" s="5">
        <f t="shared" si="136"/>
        <v>-69915.833610449583</v>
      </c>
      <c r="FU113" s="5">
        <f t="shared" si="136"/>
        <v>-70012.126945623924</v>
      </c>
      <c r="FV113" s="5">
        <f t="shared" si="136"/>
        <v>-70108.981991920125</v>
      </c>
      <c r="FW113" s="5">
        <f t="shared" si="136"/>
        <v>-70206.402025986405</v>
      </c>
      <c r="FX113" s="5">
        <f t="shared" si="136"/>
        <v>-70304.390343584717</v>
      </c>
      <c r="FY113" s="5">
        <f t="shared" si="136"/>
        <v>-70402.950259702353</v>
      </c>
      <c r="FZ113" s="5">
        <f t="shared" si="136"/>
        <v>-70502.085108664018</v>
      </c>
      <c r="GA113" s="5">
        <f t="shared" si="136"/>
        <v>-70601.798244244623</v>
      </c>
      <c r="GB113" s="5">
        <f t="shared" si="136"/>
        <v>-70702.093039782776</v>
      </c>
      <c r="GC113" s="5">
        <f t="shared" si="136"/>
        <v>-70802.972888294898</v>
      </c>
      <c r="GD113" s="5">
        <f t="shared" si="136"/>
        <v>-70904.441202590024</v>
      </c>
      <c r="GE113" s="5">
        <f t="shared" si="136"/>
        <v>-71006.501415385195</v>
      </c>
      <c r="GF113" s="5">
        <f t="shared" si="136"/>
        <v>-71109.156979421663</v>
      </c>
      <c r="GG113" s="5">
        <f t="shared" si="136"/>
        <v>-71212.411367581692</v>
      </c>
      <c r="GH113" s="5">
        <f t="shared" si="136"/>
        <v>-71316.26807300598</v>
      </c>
      <c r="GI113" s="5">
        <f t="shared" si="136"/>
        <v>-71420.730609211911</v>
      </c>
      <c r="GJ113" s="5">
        <f t="shared" si="136"/>
        <v>-71525.802510212379</v>
      </c>
      <c r="GK113" s="5">
        <f t="shared" si="136"/>
        <v>-71631.48733063534</v>
      </c>
      <c r="GL113" s="5">
        <f t="shared" si="136"/>
        <v>-71737.788645844106</v>
      </c>
      <c r="GM113" s="5">
        <f t="shared" ref="GM113:IX113" si="137">-(GM102-GM108-GM109+GM111)</f>
        <v>-71844.710052058261</v>
      </c>
      <c r="GN113" s="5">
        <f t="shared" si="137"/>
        <v>-71952.255166475341</v>
      </c>
      <c r="GO113" s="5">
        <f t="shared" si="137"/>
        <v>-72060.427627393161</v>
      </c>
      <c r="GP113" s="5">
        <f t="shared" si="137"/>
        <v>-72169.231094333023</v>
      </c>
      <c r="GQ113" s="5">
        <f t="shared" si="137"/>
        <v>-72278.669248163365</v>
      </c>
      <c r="GR113" s="5">
        <f t="shared" si="137"/>
        <v>-72388.745791224384</v>
      </c>
      <c r="GS113" s="5">
        <f t="shared" si="137"/>
        <v>-72499.464447453254</v>
      </c>
      <c r="GT113" s="5">
        <f t="shared" si="137"/>
        <v>-72610.828962510132</v>
      </c>
      <c r="GU113" s="5">
        <f t="shared" si="137"/>
        <v>-72722.84310390483</v>
      </c>
      <c r="GV113" s="5">
        <f t="shared" si="137"/>
        <v>-72835.510661124339</v>
      </c>
      <c r="GW113" s="5">
        <f t="shared" si="137"/>
        <v>-72948.835445760953</v>
      </c>
      <c r="GX113" s="5">
        <f t="shared" si="137"/>
        <v>-73062.821291641303</v>
      </c>
      <c r="GY113" s="5">
        <f t="shared" si="137"/>
        <v>-73177.472054955928</v>
      </c>
      <c r="GZ113" s="5">
        <f t="shared" si="137"/>
        <v>-73292.791614389906</v>
      </c>
      <c r="HA113" s="5">
        <f t="shared" si="137"/>
        <v>-73408.783871253909</v>
      </c>
      <c r="HB113" s="5">
        <f t="shared" si="137"/>
        <v>-73525.452749616292</v>
      </c>
      <c r="HC113" s="5">
        <f t="shared" si="137"/>
        <v>-73642.802196435776</v>
      </c>
      <c r="HD113" s="5">
        <f t="shared" si="137"/>
        <v>-73760.836181695049</v>
      </c>
      <c r="HE113" s="5">
        <f t="shared" si="137"/>
        <v>-73879.558698534995</v>
      </c>
      <c r="HF113" s="5">
        <f t="shared" si="137"/>
        <v>-73998.973763389848</v>
      </c>
      <c r="HG113" s="5">
        <f t="shared" si="137"/>
        <v>-74119.085416123009</v>
      </c>
      <c r="HH113" s="5">
        <f t="shared" si="137"/>
        <v>-74239.897720163804</v>
      </c>
      <c r="HI113" s="5">
        <f t="shared" si="137"/>
        <v>-74361.41476264481</v>
      </c>
      <c r="HJ113" s="5">
        <f t="shared" si="137"/>
        <v>-74483.640654540301</v>
      </c>
      <c r="HK113" s="5">
        <f t="shared" si="137"/>
        <v>-75032.66985455231</v>
      </c>
      <c r="HL113" s="5">
        <f t="shared" si="137"/>
        <v>-75764.392078861085</v>
      </c>
      <c r="HM113" s="5">
        <f t="shared" si="137"/>
        <v>-76502.409570160322</v>
      </c>
      <c r="HN113" s="5">
        <f t="shared" si="137"/>
        <v>-77246.777630641503</v>
      </c>
      <c r="HO113" s="5">
        <f t="shared" si="137"/>
        <v>-77997.552055407054</v>
      </c>
      <c r="HP113" s="5">
        <f t="shared" si="137"/>
        <v>-78754.789136906882</v>
      </c>
      <c r="HQ113" s="5">
        <f t="shared" si="137"/>
        <v>-79518.545669415136</v>
      </c>
      <c r="HR113" s="5">
        <f t="shared" si="137"/>
        <v>-80288.87895354745</v>
      </c>
      <c r="HS113" s="5">
        <f t="shared" si="137"/>
        <v>-81065.846800819141</v>
      </c>
      <c r="HT113" s="5">
        <f t="shared" si="137"/>
        <v>-81849.507538244754</v>
      </c>
      <c r="HU113" s="5">
        <f t="shared" si="137"/>
        <v>-82639.920012979215</v>
      </c>
      <c r="HV113" s="5">
        <f t="shared" si="137"/>
        <v>-83437.143597001035</v>
      </c>
      <c r="HW113" s="5">
        <f t="shared" si="137"/>
        <v>-84241.238191838056</v>
      </c>
      <c r="HX113" s="5">
        <f t="shared" si="137"/>
        <v>-85052.264233335853</v>
      </c>
      <c r="HY113" s="5">
        <f t="shared" si="137"/>
        <v>-85870.282696469454</v>
      </c>
      <c r="HZ113" s="5">
        <f t="shared" si="137"/>
        <v>-86695.355100198707</v>
      </c>
      <c r="IA113" s="5">
        <f t="shared" si="137"/>
        <v>-87527.543512367498</v>
      </c>
      <c r="IB113" s="5">
        <f t="shared" si="137"/>
        <v>-88366.91055464746</v>
      </c>
      <c r="IC113" s="5">
        <f t="shared" si="137"/>
        <v>-89213.519407526604</v>
      </c>
      <c r="ID113" s="5">
        <f t="shared" si="137"/>
        <v>-90067.433815342898</v>
      </c>
      <c r="IE113" s="5">
        <f t="shared" si="137"/>
        <v>-90928.718091363655</v>
      </c>
      <c r="IF113" s="5">
        <f t="shared" si="137"/>
        <v>-91797.437122911011</v>
      </c>
      <c r="IG113" s="5">
        <f t="shared" si="137"/>
        <v>-92673.656376533603</v>
      </c>
      <c r="IH113" s="5">
        <f t="shared" si="137"/>
        <v>-93557.44190322551</v>
      </c>
      <c r="II113" s="5">
        <f t="shared" si="137"/>
        <v>-24373.788953607513</v>
      </c>
      <c r="IJ113" s="5">
        <f t="shared" si="137"/>
        <v>-24515.969389170223</v>
      </c>
      <c r="IK113" s="5">
        <f t="shared" si="137"/>
        <v>-24658.979210607049</v>
      </c>
      <c r="IL113" s="5">
        <f t="shared" si="137"/>
        <v>-24802.823256002259</v>
      </c>
      <c r="IM113" s="5">
        <f t="shared" si="137"/>
        <v>-24947.506391662271</v>
      </c>
      <c r="IN113" s="5">
        <f t="shared" si="137"/>
        <v>-25093.033512280301</v>
      </c>
      <c r="IO113" s="5">
        <f t="shared" si="137"/>
        <v>-25239.409541101937</v>
      </c>
      <c r="IP113" s="5">
        <f t="shared" si="137"/>
        <v>-25386.639430091698</v>
      </c>
      <c r="IQ113" s="5">
        <f t="shared" si="137"/>
        <v>-25534.728160100567</v>
      </c>
      <c r="IR113" s="5">
        <f t="shared" si="137"/>
        <v>-25683.680741034488</v>
      </c>
      <c r="IS113" s="5">
        <f t="shared" si="137"/>
        <v>-25833.502212023857</v>
      </c>
      <c r="IT113" s="5">
        <f t="shared" si="137"/>
        <v>-25984.197641593997</v>
      </c>
      <c r="IU113" s="5">
        <f t="shared" si="137"/>
        <v>-26135.77212783663</v>
      </c>
      <c r="IV113" s="5">
        <f t="shared" si="137"/>
        <v>-26288.230798582343</v>
      </c>
      <c r="IW113" s="5">
        <f t="shared" si="137"/>
        <v>-26441.578811574072</v>
      </c>
      <c r="IX113" s="5">
        <f t="shared" si="137"/>
        <v>-26595.82135464159</v>
      </c>
      <c r="IY113" s="5">
        <f t="shared" ref="IY113:LJ113" si="138">-(IY102-IY108-IY109+IY111)</f>
        <v>-26750.963645877</v>
      </c>
      <c r="IZ113" s="5">
        <f t="shared" si="138"/>
        <v>-26907.010933811282</v>
      </c>
      <c r="JA113" s="5">
        <f t="shared" si="138"/>
        <v>-27063.968497591846</v>
      </c>
      <c r="JB113" s="5">
        <f t="shared" si="138"/>
        <v>-27221.841647161134</v>
      </c>
      <c r="JC113" s="5">
        <f t="shared" si="138"/>
        <v>-27380.63572343624</v>
      </c>
      <c r="JD113" s="5">
        <f t="shared" si="138"/>
        <v>-27540.356098489618</v>
      </c>
      <c r="JE113" s="5">
        <f t="shared" si="138"/>
        <v>-27701.008175730807</v>
      </c>
      <c r="JF113" s="5">
        <f t="shared" si="138"/>
        <v>-27862.597390089239</v>
      </c>
      <c r="JG113" s="5">
        <f t="shared" si="138"/>
        <v>-28025.129208198094</v>
      </c>
      <c r="JH113" s="5">
        <f t="shared" si="138"/>
        <v>-28188.60912857925</v>
      </c>
      <c r="JI113" s="5">
        <f t="shared" si="138"/>
        <v>-28353.042681829294</v>
      </c>
      <c r="JJ113" s="5">
        <f t="shared" si="138"/>
        <v>-28518.435430806632</v>
      </c>
      <c r="JK113" s="5">
        <f t="shared" si="138"/>
        <v>-28684.792970819672</v>
      </c>
      <c r="JL113" s="5">
        <f t="shared" si="138"/>
        <v>-28852.120929816119</v>
      </c>
      <c r="JM113" s="5">
        <f t="shared" si="138"/>
        <v>-29020.424968573381</v>
      </c>
      <c r="JN113" s="5">
        <f t="shared" si="138"/>
        <v>-29189.710780890058</v>
      </c>
      <c r="JO113" s="5">
        <f t="shared" si="138"/>
        <v>-29359.984093778585</v>
      </c>
      <c r="JP113" s="5">
        <f t="shared" si="138"/>
        <v>-29531.250667658962</v>
      </c>
      <c r="JQ113" s="5">
        <f t="shared" si="138"/>
        <v>-29703.51629655364</v>
      </c>
      <c r="JR113" s="5">
        <f t="shared" si="138"/>
        <v>-29876.786808283538</v>
      </c>
      <c r="JS113" s="5">
        <f t="shared" si="138"/>
        <v>-30051.068064665193</v>
      </c>
      <c r="JT113" s="5">
        <f t="shared" si="138"/>
        <v>-30226.365961709074</v>
      </c>
      <c r="JU113" s="5">
        <f t="shared" si="138"/>
        <v>-30402.686429819045</v>
      </c>
      <c r="JV113" s="5">
        <f t="shared" si="138"/>
        <v>-30580.035433992991</v>
      </c>
      <c r="JW113" s="5">
        <f t="shared" si="138"/>
        <v>-30758.418974024618</v>
      </c>
      <c r="JX113" s="5">
        <f t="shared" si="138"/>
        <v>-30937.84308470643</v>
      </c>
      <c r="JY113" s="5">
        <f t="shared" si="138"/>
        <v>-31118.313836033885</v>
      </c>
      <c r="JZ113" s="5">
        <f t="shared" si="138"/>
        <v>-31299.837333410749</v>
      </c>
      <c r="KA113" s="5">
        <f t="shared" si="138"/>
        <v>-31482.419717855646</v>
      </c>
      <c r="KB113" s="5">
        <f t="shared" si="138"/>
        <v>-31666.067166209803</v>
      </c>
      <c r="KC113" s="5">
        <f t="shared" si="138"/>
        <v>-31850.785891346026</v>
      </c>
      <c r="KD113" s="5">
        <f t="shared" si="138"/>
        <v>-32036.58214237888</v>
      </c>
      <c r="KE113" s="5">
        <f t="shared" si="138"/>
        <v>-32223.46220487609</v>
      </c>
      <c r="KF113" s="5">
        <f t="shared" si="138"/>
        <v>-32411.432401071201</v>
      </c>
      <c r="KG113" s="5">
        <f t="shared" si="138"/>
        <v>-32600.49909007745</v>
      </c>
      <c r="KH113" s="5">
        <f t="shared" si="138"/>
        <v>-32790.668668102902</v>
      </c>
      <c r="KI113" s="5">
        <f t="shared" si="138"/>
        <v>-32981.947568666837</v>
      </c>
      <c r="KJ113" s="5">
        <f t="shared" si="138"/>
        <v>-33174.342262817394</v>
      </c>
      <c r="KK113" s="5">
        <f t="shared" si="138"/>
        <v>-33367.859259350495</v>
      </c>
      <c r="KL113" s="5">
        <f t="shared" si="138"/>
        <v>-33562.505105030039</v>
      </c>
      <c r="KM113" s="5">
        <f t="shared" si="138"/>
        <v>-33758.286384809384</v>
      </c>
      <c r="KN113" s="5">
        <f t="shared" si="138"/>
        <v>-33955.209722054104</v>
      </c>
      <c r="KO113" s="5">
        <f t="shared" si="138"/>
        <v>-34153.28177876609</v>
      </c>
      <c r="KP113" s="5">
        <f t="shared" si="138"/>
        <v>-34352.509255808895</v>
      </c>
      <c r="KQ113" s="5">
        <f t="shared" si="138"/>
        <v>-34552.89889313445</v>
      </c>
      <c r="KR113" s="5">
        <f t="shared" si="138"/>
        <v>-34754.457470011068</v>
      </c>
      <c r="KS113" s="5">
        <f t="shared" si="138"/>
        <v>-34957.191805252798</v>
      </c>
      <c r="KT113" s="5">
        <f t="shared" si="138"/>
        <v>-35161.108757450107</v>
      </c>
      <c r="KU113" s="5">
        <f t="shared" si="138"/>
        <v>-35366.2152252019</v>
      </c>
      <c r="KV113" s="5">
        <f t="shared" si="138"/>
        <v>-35572.518147348914</v>
      </c>
      <c r="KW113" s="5">
        <f t="shared" si="138"/>
        <v>-35780.024503208449</v>
      </c>
      <c r="KX113" s="5">
        <f t="shared" si="138"/>
        <v>-35988.741312810496</v>
      </c>
      <c r="KY113" s="5">
        <f t="shared" si="138"/>
        <v>-36198.675637135224</v>
      </c>
      <c r="KZ113" s="5">
        <f t="shared" si="138"/>
        <v>-36409.834578351845</v>
      </c>
      <c r="LA113" s="5">
        <f t="shared" si="138"/>
        <v>-36622.225280058898</v>
      </c>
      <c r="LB113" s="5">
        <f t="shared" si="138"/>
        <v>-36835.854927525907</v>
      </c>
      <c r="LC113" s="5">
        <f t="shared" si="138"/>
        <v>-37050.730747936475</v>
      </c>
      <c r="LD113" s="5">
        <f t="shared" si="138"/>
        <v>-37266.860010632772</v>
      </c>
      <c r="LE113" s="5">
        <f t="shared" si="138"/>
        <v>-37484.250027361464</v>
      </c>
      <c r="LF113" s="5">
        <f t="shared" si="138"/>
        <v>-37702.908152521071</v>
      </c>
      <c r="LG113" s="5">
        <f t="shared" si="138"/>
        <v>-37922.841783410775</v>
      </c>
      <c r="LH113" s="5">
        <f t="shared" si="138"/>
        <v>-38144.058360480674</v>
      </c>
      <c r="LI113" s="5">
        <f t="shared" si="138"/>
        <v>-38366.565367583476</v>
      </c>
      <c r="LJ113" s="5">
        <f t="shared" si="138"/>
        <v>-38590.370332227714</v>
      </c>
      <c r="LK113" s="5">
        <f t="shared" ref="LK113:NV113" si="139">-(LK102-LK108-LK109+LK111)</f>
        <v>-38815.480825832376</v>
      </c>
      <c r="LL113" s="5">
        <f t="shared" si="139"/>
        <v>-39041.904463983068</v>
      </c>
      <c r="LM113" s="5">
        <f t="shared" si="139"/>
        <v>-39269.648906689639</v>
      </c>
      <c r="LN113" s="5">
        <f t="shared" si="139"/>
        <v>-39498.721858645331</v>
      </c>
      <c r="LO113" s="5">
        <f t="shared" si="139"/>
        <v>-39729.131069487426</v>
      </c>
      <c r="LP113" s="5">
        <f t="shared" si="139"/>
        <v>-39960.884334059439</v>
      </c>
      <c r="LQ113" s="5">
        <f t="shared" si="139"/>
        <v>-40193.989492674787</v>
      </c>
      <c r="LR113" s="5">
        <f t="shared" si="139"/>
        <v>-40428.454431382059</v>
      </c>
      <c r="LS113" s="5">
        <f t="shared" si="139"/>
        <v>-40664.287082231785</v>
      </c>
      <c r="LT113" s="5">
        <f t="shared" si="139"/>
        <v>-40901.495423544802</v>
      </c>
      <c r="LU113" s="5">
        <f t="shared" si="139"/>
        <v>-41140.087480182148</v>
      </c>
      <c r="LV113" s="5">
        <f t="shared" si="139"/>
        <v>-41380.071323816548</v>
      </c>
      <c r="LW113" s="5">
        <f t="shared" si="139"/>
        <v>-41621.455073205478</v>
      </c>
      <c r="LX113" s="5">
        <f t="shared" si="139"/>
        <v>-41864.246894465847</v>
      </c>
      <c r="LY113" s="5">
        <f t="shared" si="139"/>
        <v>-42108.45500135023</v>
      </c>
      <c r="LZ113" s="5">
        <f t="shared" si="139"/>
        <v>-42354.087655524774</v>
      </c>
      <c r="MA113" s="5">
        <f t="shared" si="139"/>
        <v>-42601.153166848671</v>
      </c>
      <c r="MB113" s="5">
        <f t="shared" si="139"/>
        <v>-42849.659893655291</v>
      </c>
      <c r="MC113" s="5">
        <f t="shared" si="139"/>
        <v>-43099.61624303495</v>
      </c>
      <c r="MD113" s="5">
        <f t="shared" si="139"/>
        <v>-43351.030671119319</v>
      </c>
      <c r="ME113" s="5">
        <f t="shared" si="139"/>
        <v>-43603.911683367514</v>
      </c>
      <c r="MF113" s="5">
        <f t="shared" si="139"/>
        <v>-43858.267834853825</v>
      </c>
      <c r="MG113" s="5">
        <f t="shared" si="139"/>
        <v>-44114.107730557138</v>
      </c>
      <c r="MH113" s="5">
        <f t="shared" si="139"/>
        <v>-44371.440025652053</v>
      </c>
      <c r="MI113" s="5">
        <f t="shared" si="139"/>
        <v>-44630.273425801694</v>
      </c>
      <c r="MJ113" s="5">
        <f t="shared" si="139"/>
        <v>-44890.616687452202</v>
      </c>
      <c r="MK113" s="5">
        <f t="shared" si="139"/>
        <v>-45152.478618129011</v>
      </c>
      <c r="ML113" s="5">
        <f t="shared" si="139"/>
        <v>-45415.868076734761</v>
      </c>
      <c r="MM113" s="5">
        <f t="shared" si="139"/>
        <v>-45680.793973849046</v>
      </c>
      <c r="MN113" s="5">
        <f t="shared" si="139"/>
        <v>-45947.265272029836</v>
      </c>
      <c r="MO113" s="5">
        <f t="shared" si="139"/>
        <v>-46215.290986116677</v>
      </c>
      <c r="MP113" s="5">
        <f t="shared" si="139"/>
        <v>-46484.880183535694</v>
      </c>
      <c r="MQ113" s="5">
        <f t="shared" si="139"/>
        <v>-46756.041984606316</v>
      </c>
      <c r="MR113" s="5">
        <f t="shared" si="139"/>
        <v>-47028.785562849851</v>
      </c>
      <c r="MS113" s="5">
        <f t="shared" si="139"/>
        <v>-47303.120145299807</v>
      </c>
      <c r="MT113" s="5">
        <f t="shared" si="139"/>
        <v>-47579.055012814053</v>
      </c>
      <c r="MU113" s="5">
        <f t="shared" si="139"/>
        <v>-47856.599500388802</v>
      </c>
      <c r="MV113" s="5">
        <f t="shared" si="139"/>
        <v>-48135.762997474405</v>
      </c>
      <c r="MW113" s="5">
        <f t="shared" si="139"/>
        <v>-48416.554948293007</v>
      </c>
      <c r="MX113" s="5">
        <f t="shared" si="139"/>
        <v>-48698.98485215805</v>
      </c>
      <c r="MY113" s="5">
        <f t="shared" si="139"/>
        <v>0</v>
      </c>
      <c r="MZ113" s="5">
        <f t="shared" si="139"/>
        <v>0</v>
      </c>
      <c r="NA113" s="5">
        <f t="shared" si="139"/>
        <v>0</v>
      </c>
      <c r="NB113" s="5">
        <f t="shared" si="139"/>
        <v>0</v>
      </c>
      <c r="NC113" s="5">
        <f t="shared" si="139"/>
        <v>0</v>
      </c>
      <c r="ND113" s="5">
        <f t="shared" si="139"/>
        <v>0</v>
      </c>
      <c r="NE113" s="5">
        <f t="shared" si="139"/>
        <v>0</v>
      </c>
      <c r="NF113" s="5">
        <f t="shared" si="139"/>
        <v>0</v>
      </c>
      <c r="NG113" s="5">
        <f t="shared" si="139"/>
        <v>0</v>
      </c>
      <c r="NH113" s="5">
        <f t="shared" si="139"/>
        <v>0</v>
      </c>
      <c r="NI113" s="5">
        <f t="shared" si="139"/>
        <v>0</v>
      </c>
      <c r="NJ113" s="5">
        <f t="shared" si="139"/>
        <v>0</v>
      </c>
      <c r="NK113" s="5">
        <f t="shared" si="139"/>
        <v>0</v>
      </c>
      <c r="NL113" s="5">
        <f t="shared" si="139"/>
        <v>0</v>
      </c>
      <c r="NM113" s="5">
        <f t="shared" si="139"/>
        <v>0</v>
      </c>
      <c r="NN113" s="5">
        <f t="shared" si="139"/>
        <v>0</v>
      </c>
      <c r="NO113" s="5">
        <f t="shared" si="139"/>
        <v>0</v>
      </c>
      <c r="NP113" s="5">
        <f t="shared" si="139"/>
        <v>0</v>
      </c>
      <c r="NQ113" s="5">
        <f t="shared" si="139"/>
        <v>0</v>
      </c>
      <c r="NR113" s="5">
        <f t="shared" si="139"/>
        <v>0</v>
      </c>
      <c r="NS113" s="5">
        <f t="shared" si="139"/>
        <v>0</v>
      </c>
      <c r="NT113" s="5">
        <f t="shared" si="139"/>
        <v>0</v>
      </c>
      <c r="NU113" s="5">
        <f t="shared" si="139"/>
        <v>0</v>
      </c>
      <c r="NV113" s="5">
        <f t="shared" si="139"/>
        <v>0</v>
      </c>
      <c r="NW113" s="5">
        <f t="shared" ref="NW113:PF113" si="140">-(NW102-NW108-NW109+NW111)</f>
        <v>0</v>
      </c>
      <c r="NX113" s="5">
        <f t="shared" si="140"/>
        <v>0</v>
      </c>
      <c r="NY113" s="5">
        <f t="shared" si="140"/>
        <v>0</v>
      </c>
      <c r="NZ113" s="5">
        <f t="shared" si="140"/>
        <v>0</v>
      </c>
      <c r="OA113" s="5">
        <f t="shared" si="140"/>
        <v>0</v>
      </c>
      <c r="OB113" s="5">
        <f t="shared" si="140"/>
        <v>0</v>
      </c>
      <c r="OC113" s="5">
        <f t="shared" si="140"/>
        <v>0</v>
      </c>
      <c r="OD113" s="5">
        <f t="shared" si="140"/>
        <v>0</v>
      </c>
      <c r="OE113" s="5">
        <f t="shared" si="140"/>
        <v>0</v>
      </c>
      <c r="OF113" s="5">
        <f t="shared" si="140"/>
        <v>0</v>
      </c>
      <c r="OG113" s="5">
        <f t="shared" si="140"/>
        <v>0</v>
      </c>
      <c r="OH113" s="5">
        <f t="shared" si="140"/>
        <v>0</v>
      </c>
      <c r="OI113" s="5">
        <f t="shared" si="140"/>
        <v>0</v>
      </c>
      <c r="OJ113" s="5">
        <f t="shared" si="140"/>
        <v>0</v>
      </c>
      <c r="OK113" s="5">
        <f t="shared" si="140"/>
        <v>0</v>
      </c>
      <c r="OL113" s="5">
        <f t="shared" si="140"/>
        <v>0</v>
      </c>
      <c r="OM113" s="5">
        <f t="shared" si="140"/>
        <v>0</v>
      </c>
      <c r="ON113" s="5">
        <f t="shared" si="140"/>
        <v>0</v>
      </c>
      <c r="OO113" s="5">
        <f t="shared" si="140"/>
        <v>0</v>
      </c>
      <c r="OP113" s="5">
        <f t="shared" si="140"/>
        <v>0</v>
      </c>
      <c r="OQ113" s="5">
        <f t="shared" si="140"/>
        <v>0</v>
      </c>
      <c r="OR113" s="5">
        <f t="shared" si="140"/>
        <v>0</v>
      </c>
      <c r="OS113" s="5">
        <f t="shared" si="140"/>
        <v>0</v>
      </c>
      <c r="OT113" s="5">
        <f t="shared" si="140"/>
        <v>0</v>
      </c>
      <c r="OU113" s="5">
        <f t="shared" si="140"/>
        <v>0</v>
      </c>
      <c r="OV113" s="5">
        <f t="shared" si="140"/>
        <v>0</v>
      </c>
      <c r="OW113" s="5">
        <f t="shared" si="140"/>
        <v>0</v>
      </c>
      <c r="OX113" s="5">
        <f t="shared" si="140"/>
        <v>0</v>
      </c>
      <c r="OY113" s="5">
        <f t="shared" si="140"/>
        <v>0</v>
      </c>
      <c r="OZ113" s="5">
        <f t="shared" si="140"/>
        <v>0</v>
      </c>
      <c r="PA113" s="5">
        <f t="shared" si="140"/>
        <v>0</v>
      </c>
      <c r="PB113" s="5">
        <f t="shared" si="140"/>
        <v>0</v>
      </c>
      <c r="PC113" s="5">
        <f t="shared" si="140"/>
        <v>0</v>
      </c>
      <c r="PD113" s="5">
        <f t="shared" si="140"/>
        <v>0</v>
      </c>
      <c r="PE113" s="5">
        <f t="shared" si="140"/>
        <v>0</v>
      </c>
      <c r="PF113" s="5">
        <f t="shared" si="140"/>
        <v>0</v>
      </c>
    </row>
    <row r="114" spans="1:422" hidden="1">
      <c r="A114" s="6" t="s">
        <v>45</v>
      </c>
      <c r="C114" s="18">
        <f>C113</f>
        <v>-62701.666666666657</v>
      </c>
      <c r="D114" s="5">
        <f>IF(D95&lt;=$B$92, C114+D113, 0)</f>
        <v>-125353.82156781309</v>
      </c>
      <c r="E114" s="5">
        <f t="shared" ref="E114:BO114" si="141">IF(E95&lt;=$B$92, D114+E113, 0)</f>
        <v>-187955.89349836649</v>
      </c>
      <c r="F114" s="5">
        <f>IF(F95&lt;=$B$92, E114+F113, 0)</f>
        <v>-250507.30533268207</v>
      </c>
      <c r="G114" s="5">
        <f t="shared" si="141"/>
        <v>-313007.47396627808</v>
      </c>
      <c r="H114" s="5">
        <f t="shared" si="141"/>
        <v>-375455.81025701348</v>
      </c>
      <c r="I114" s="5">
        <f t="shared" si="141"/>
        <v>-437851.71896570298</v>
      </c>
      <c r="J114" s="5">
        <f t="shared" si="141"/>
        <v>-500194.59869616403</v>
      </c>
      <c r="K114" s="5">
        <f t="shared" si="141"/>
        <v>-562483.84183469065</v>
      </c>
      <c r="L114" s="5">
        <f t="shared" si="141"/>
        <v>-624718.83448894857</v>
      </c>
      <c r="M114" s="5">
        <f t="shared" si="141"/>
        <v>-686898.95642628626</v>
      </c>
      <c r="N114" s="5">
        <f t="shared" si="141"/>
        <v>-749023.58101145644</v>
      </c>
      <c r="O114" s="5">
        <f t="shared" si="141"/>
        <v>-811092.07514374226</v>
      </c>
      <c r="P114" s="5">
        <f t="shared" si="141"/>
        <v>-873103.79919348273</v>
      </c>
      <c r="Q114" s="5">
        <f t="shared" si="141"/>
        <v>-935058.10693799227</v>
      </c>
      <c r="R114" s="5">
        <f t="shared" si="141"/>
        <v>-996954.3454968672</v>
      </c>
      <c r="S114" s="5">
        <f t="shared" si="141"/>
        <v>-1058791.8552666754</v>
      </c>
      <c r="T114" s="5">
        <f t="shared" si="141"/>
        <v>-1120569.9698550217</v>
      </c>
      <c r="U114" s="5">
        <f t="shared" si="141"/>
        <v>-1182288.0160139836</v>
      </c>
      <c r="V114" s="5">
        <f t="shared" si="141"/>
        <v>-1243945.3135729125</v>
      </c>
      <c r="W114" s="5">
        <f t="shared" si="141"/>
        <v>-1305541.1753705919</v>
      </c>
      <c r="X114" s="5">
        <f t="shared" si="141"/>
        <v>-1367074.9071867503</v>
      </c>
      <c r="Y114" s="5">
        <f t="shared" si="141"/>
        <v>-1428545.8076729185</v>
      </c>
      <c r="Z114" s="5">
        <f t="shared" si="141"/>
        <v>-1489953.1682826285</v>
      </c>
      <c r="AA114" s="5">
        <f t="shared" si="141"/>
        <v>-1551296.2732009462</v>
      </c>
      <c r="AB114" s="5">
        <f t="shared" si="141"/>
        <v>-1612574.3992733317</v>
      </c>
      <c r="AC114" s="5">
        <f t="shared" si="141"/>
        <v>-1673786.8159338217</v>
      </c>
      <c r="AD114" s="5">
        <f t="shared" si="141"/>
        <v>-1734932.7851325269</v>
      </c>
      <c r="AE114" s="5">
        <f t="shared" si="141"/>
        <v>-1796011.5612624376</v>
      </c>
      <c r="AF114" s="5">
        <f t="shared" si="141"/>
        <v>-1857022.3910855327</v>
      </c>
      <c r="AG114" s="5">
        <f t="shared" si="141"/>
        <v>-1917964.5136581832</v>
      </c>
      <c r="AH114" s="5">
        <f t="shared" si="141"/>
        <v>-1978837.1602558459</v>
      </c>
      <c r="AI114" s="5">
        <f t="shared" si="141"/>
        <v>-2039639.5542970388</v>
      </c>
      <c r="AJ114" s="5">
        <f t="shared" si="141"/>
        <v>-2100370.9112665923</v>
      </c>
      <c r="AK114" s="5">
        <f t="shared" si="141"/>
        <v>-2161133.9673817535</v>
      </c>
      <c r="AL114" s="5">
        <f t="shared" si="141"/>
        <v>-2221939.925630033</v>
      </c>
      <c r="AM114" s="5">
        <f t="shared" si="141"/>
        <v>-2282789.0362738743</v>
      </c>
      <c r="AN114" s="5">
        <f t="shared" si="141"/>
        <v>-2343681.5510355844</v>
      </c>
      <c r="AO114" s="5">
        <f t="shared" si="141"/>
        <v>-2404617.7231058516</v>
      </c>
      <c r="AP114" s="5">
        <f t="shared" si="141"/>
        <v>-2465597.8071523085</v>
      </c>
      <c r="AQ114" s="5">
        <f t="shared" si="141"/>
        <v>-2526622.05932815</v>
      </c>
      <c r="AR114" s="5">
        <f t="shared" si="141"/>
        <v>-2587690.7372807972</v>
      </c>
      <c r="AS114" s="5">
        <f t="shared" si="141"/>
        <v>-2648804.1001606151</v>
      </c>
      <c r="AT114" s="5">
        <f t="shared" si="141"/>
        <v>-2709962.4086296782</v>
      </c>
      <c r="AU114" s="5">
        <f t="shared" si="141"/>
        <v>-2771165.9248705911</v>
      </c>
      <c r="AV114" s="5">
        <f t="shared" si="141"/>
        <v>-2832414.9125953559</v>
      </c>
      <c r="AW114" s="5">
        <f t="shared" si="141"/>
        <v>-2893709.6370542953</v>
      </c>
      <c r="AX114" s="5">
        <f t="shared" si="141"/>
        <v>-2955050.3650450255</v>
      </c>
      <c r="AY114" s="5">
        <f t="shared" si="141"/>
        <v>-3016437.3649214813</v>
      </c>
      <c r="AZ114" s="5">
        <f t="shared" si="141"/>
        <v>-3077870.9066029969</v>
      </c>
      <c r="BA114" s="5">
        <f t="shared" si="141"/>
        <v>-3139351.2615834344</v>
      </c>
      <c r="BB114" s="5">
        <f t="shared" si="141"/>
        <v>-3200878.7029403714</v>
      </c>
      <c r="BC114" s="5">
        <f t="shared" si="141"/>
        <v>-3262453.5053443373</v>
      </c>
      <c r="BD114" s="5">
        <f t="shared" si="141"/>
        <v>-3324075.9450681061</v>
      </c>
      <c r="BE114" s="5">
        <f t="shared" si="141"/>
        <v>-3385746.2999960436</v>
      </c>
      <c r="BF114" s="5">
        <f t="shared" si="141"/>
        <v>-3447464.8496335074</v>
      </c>
      <c r="BG114" s="5">
        <f t="shared" si="141"/>
        <v>-3509231.8751163036</v>
      </c>
      <c r="BH114" s="5">
        <f t="shared" si="141"/>
        <v>-3571047.6592201958</v>
      </c>
      <c r="BI114" s="5">
        <f t="shared" si="141"/>
        <v>-3632912.4863704741</v>
      </c>
      <c r="BJ114" s="5">
        <f t="shared" si="141"/>
        <v>-3694826.6426515761</v>
      </c>
      <c r="BK114" s="5">
        <f t="shared" si="141"/>
        <v>-3756790.4158167643</v>
      </c>
      <c r="BL114" s="5">
        <f t="shared" si="141"/>
        <v>-3818804.0952978628</v>
      </c>
      <c r="BM114" s="5">
        <f t="shared" si="141"/>
        <v>-3880867.972215048</v>
      </c>
      <c r="BN114" s="5">
        <f t="shared" si="141"/>
        <v>-3942982.3393866969</v>
      </c>
      <c r="BO114" s="5">
        <f t="shared" si="141"/>
        <v>-4005147.4913392938</v>
      </c>
      <c r="BP114" s="5">
        <f t="shared" ref="BP114:EA114" si="142">IF(BP95&lt;=$B$92, BO114+BP113, 0)</f>
        <v>-4067363.7243173942</v>
      </c>
      <c r="BQ114" s="5">
        <f t="shared" si="142"/>
        <v>-4129631.3362936466</v>
      </c>
      <c r="BR114" s="5">
        <f t="shared" si="142"/>
        <v>-4191950.6269788742</v>
      </c>
      <c r="BS114" s="5">
        <f t="shared" si="142"/>
        <v>-4254321.897832212</v>
      </c>
      <c r="BT114" s="5">
        <f t="shared" si="142"/>
        <v>-4316745.4520713082</v>
      </c>
      <c r="BU114" s="5">
        <f t="shared" si="142"/>
        <v>-4379221.5946825789</v>
      </c>
      <c r="BV114" s="5">
        <f t="shared" si="142"/>
        <v>-4441750.6324315285</v>
      </c>
      <c r="BW114" s="5">
        <f t="shared" si="142"/>
        <v>-4504332.8738731276</v>
      </c>
      <c r="BX114" s="5">
        <f t="shared" si="142"/>
        <v>-4566968.6293622488</v>
      </c>
      <c r="BY114" s="5">
        <f t="shared" si="142"/>
        <v>-4629658.2110641701</v>
      </c>
      <c r="BZ114" s="5">
        <f t="shared" si="142"/>
        <v>-4692401.9329651324</v>
      </c>
      <c r="CA114" s="5">
        <f t="shared" si="142"/>
        <v>-4755200.110882964</v>
      </c>
      <c r="CB114" s="5">
        <f t="shared" si="142"/>
        <v>-4818053.0624777628</v>
      </c>
      <c r="CC114" s="5">
        <f t="shared" si="142"/>
        <v>-4880961.1072626449</v>
      </c>
      <c r="CD114" s="5">
        <f t="shared" si="142"/>
        <v>-4943924.5666145524</v>
      </c>
      <c r="CE114" s="5">
        <f t="shared" si="142"/>
        <v>-5006943.7637851257</v>
      </c>
      <c r="CF114" s="5">
        <f t="shared" si="142"/>
        <v>-5070019.023911641</v>
      </c>
      <c r="CG114" s="5">
        <f t="shared" si="142"/>
        <v>-5133150.6740280073</v>
      </c>
      <c r="CH114" s="5">
        <f t="shared" si="142"/>
        <v>-5196339.0430758325</v>
      </c>
      <c r="CI114" s="5">
        <f t="shared" si="142"/>
        <v>-5259584.4619155508</v>
      </c>
      <c r="CJ114" s="5">
        <f t="shared" si="142"/>
        <v>-5322887.263337614</v>
      </c>
      <c r="CK114" s="5">
        <f t="shared" si="142"/>
        <v>-5386247.782073753</v>
      </c>
      <c r="CL114" s="5">
        <f t="shared" si="142"/>
        <v>-5449666.3548082989</v>
      </c>
      <c r="CM114" s="5">
        <f t="shared" si="142"/>
        <v>-5513143.3201895766</v>
      </c>
      <c r="CN114" s="5">
        <f t="shared" si="142"/>
        <v>-5576679.0188413588</v>
      </c>
      <c r="CO114" s="5">
        <f t="shared" si="142"/>
        <v>-5640273.7933743894</v>
      </c>
      <c r="CP114" s="5">
        <f t="shared" si="142"/>
        <v>-5703927.9883979764</v>
      </c>
      <c r="CQ114" s="5">
        <f t="shared" si="142"/>
        <v>-5767641.9505316475</v>
      </c>
      <c r="CR114" s="5">
        <f t="shared" si="142"/>
        <v>-5831416.0284168785</v>
      </c>
      <c r="CS114" s="5">
        <f t="shared" si="142"/>
        <v>-5895250.5727288863</v>
      </c>
      <c r="CT114" s="5">
        <f t="shared" si="142"/>
        <v>-5959145.9361884948</v>
      </c>
      <c r="CU114" s="5">
        <f t="shared" si="142"/>
        <v>-6023102.4735740637</v>
      </c>
      <c r="CV114" s="5">
        <f t="shared" si="142"/>
        <v>-6087120.5417334959</v>
      </c>
      <c r="CW114" s="5">
        <f t="shared" si="142"/>
        <v>-6151200.4995963043</v>
      </c>
      <c r="CX114" s="5">
        <f t="shared" si="142"/>
        <v>-6215342.7081857594</v>
      </c>
      <c r="CY114" s="5">
        <f t="shared" si="142"/>
        <v>-6279547.5306310998</v>
      </c>
      <c r="CZ114" s="5">
        <f t="shared" si="142"/>
        <v>-6343815.3321798183</v>
      </c>
      <c r="DA114" s="5">
        <f t="shared" si="142"/>
        <v>-6408146.4802100174</v>
      </c>
      <c r="DB114" s="5">
        <f t="shared" si="142"/>
        <v>-6472541.3442428391</v>
      </c>
      <c r="DC114" s="5">
        <f t="shared" si="142"/>
        <v>-6537000.295954966</v>
      </c>
      <c r="DD114" s="5">
        <f t="shared" si="142"/>
        <v>-6601523.7091911938</v>
      </c>
      <c r="DE114" s="5">
        <f t="shared" si="142"/>
        <v>-6666111.9599770792</v>
      </c>
      <c r="DF114" s="5">
        <f t="shared" si="142"/>
        <v>-6730765.4265316622</v>
      </c>
      <c r="DG114" s="5">
        <f t="shared" si="142"/>
        <v>-6795484.4892802611</v>
      </c>
      <c r="DH114" s="5">
        <f t="shared" si="142"/>
        <v>-6860269.53086734</v>
      </c>
      <c r="DI114" s="5">
        <f t="shared" si="142"/>
        <v>-6925120.9361694567</v>
      </c>
      <c r="DJ114" s="5">
        <f t="shared" si="142"/>
        <v>-6990039.0923082829</v>
      </c>
      <c r="DK114" s="5">
        <f t="shared" si="142"/>
        <v>-7055024.3886636989</v>
      </c>
      <c r="DL114" s="5">
        <f t="shared" si="142"/>
        <v>-7120077.2168869684</v>
      </c>
      <c r="DM114" s="5">
        <f t="shared" si="142"/>
        <v>-7185197.9709139867</v>
      </c>
      <c r="DN114" s="5">
        <f t="shared" si="142"/>
        <v>-7250387.0469786087</v>
      </c>
      <c r="DO114" s="5">
        <f t="shared" si="142"/>
        <v>-7315644.8436260549</v>
      </c>
      <c r="DP114" s="5">
        <f t="shared" si="142"/>
        <v>-7380971.7617263915</v>
      </c>
      <c r="DQ114" s="5">
        <f t="shared" si="142"/>
        <v>-7446368.204488093</v>
      </c>
      <c r="DR114" s="5">
        <f t="shared" si="142"/>
        <v>-7511834.5774716847</v>
      </c>
      <c r="DS114" s="5">
        <f t="shared" si="142"/>
        <v>-7577371.2886034604</v>
      </c>
      <c r="DT114" s="5">
        <f t="shared" si="142"/>
        <v>-7642978.7481892854</v>
      </c>
      <c r="DU114" s="5">
        <f t="shared" si="142"/>
        <v>-7708657.3689284744</v>
      </c>
      <c r="DV114" s="5">
        <f t="shared" si="142"/>
        <v>-7774407.5659277551</v>
      </c>
      <c r="DW114" s="5">
        <f t="shared" si="142"/>
        <v>-7840229.7567153117</v>
      </c>
      <c r="DX114" s="5">
        <f t="shared" si="142"/>
        <v>-7906124.3612549091</v>
      </c>
      <c r="DY114" s="5">
        <f t="shared" si="142"/>
        <v>-7972091.8019601014</v>
      </c>
      <c r="DZ114" s="5">
        <f t="shared" si="142"/>
        <v>-8038132.50370852</v>
      </c>
      <c r="EA114" s="5">
        <f t="shared" si="142"/>
        <v>-8104246.8938562516</v>
      </c>
      <c r="EB114" s="5">
        <f t="shared" ref="EB114:GM114" si="143">IF(EB95&lt;=$B$92, EA114+EB113, 0)</f>
        <v>-8170435.4022522913</v>
      </c>
      <c r="EC114" s="5">
        <f t="shared" si="143"/>
        <v>-8236698.461253088</v>
      </c>
      <c r="ED114" s="5">
        <f t="shared" si="143"/>
        <v>-8303036.5057371696</v>
      </c>
      <c r="EE114" s="5">
        <f t="shared" si="143"/>
        <v>-8369449.9731198549</v>
      </c>
      <c r="EF114" s="5">
        <f t="shared" si="143"/>
        <v>-8435939.3033680525</v>
      </c>
      <c r="EG114" s="5">
        <f t="shared" si="143"/>
        <v>-8502504.9390151445</v>
      </c>
      <c r="EH114" s="5">
        <f t="shared" si="143"/>
        <v>-8569147.3251759578</v>
      </c>
      <c r="EI114" s="5">
        <f t="shared" si="143"/>
        <v>-8635866.9095618222</v>
      </c>
      <c r="EJ114" s="5">
        <f t="shared" si="143"/>
        <v>-8702664.1424957179</v>
      </c>
      <c r="EK114" s="5">
        <f t="shared" si="143"/>
        <v>-8769539.4769275077</v>
      </c>
      <c r="EL114" s="5">
        <f t="shared" si="143"/>
        <v>-8836493.3684492633</v>
      </c>
      <c r="EM114" s="5">
        <f t="shared" si="143"/>
        <v>-8903526.2753106765</v>
      </c>
      <c r="EN114" s="5">
        <f t="shared" si="143"/>
        <v>-8970638.6584345605</v>
      </c>
      <c r="EO114" s="5">
        <f t="shared" si="143"/>
        <v>-9037830.9814324472</v>
      </c>
      <c r="EP114" s="5">
        <f t="shared" si="143"/>
        <v>-9105103.7106202692</v>
      </c>
      <c r="EQ114" s="5">
        <f t="shared" si="143"/>
        <v>-9172457.3150341343</v>
      </c>
      <c r="ER114" s="5">
        <f t="shared" si="143"/>
        <v>-9239892.2664461937</v>
      </c>
      <c r="ES114" s="5">
        <f t="shared" si="143"/>
        <v>-9307409.0393806025</v>
      </c>
      <c r="ET114" s="5">
        <f t="shared" si="143"/>
        <v>-9375008.1111295763</v>
      </c>
      <c r="EU114" s="5">
        <f t="shared" si="143"/>
        <v>-9442689.9617695324</v>
      </c>
      <c r="EV114" s="5">
        <f t="shared" si="143"/>
        <v>-9510455.0741773341</v>
      </c>
      <c r="EW114" s="5">
        <f t="shared" si="143"/>
        <v>-9578303.934046628</v>
      </c>
      <c r="EX114" s="5">
        <f t="shared" si="143"/>
        <v>-9646237.0299042724</v>
      </c>
      <c r="EY114" s="5">
        <f t="shared" si="143"/>
        <v>-9714254.8531268667</v>
      </c>
      <c r="EZ114" s="5">
        <f t="shared" si="143"/>
        <v>-9782357.8979573734</v>
      </c>
      <c r="FA114" s="5">
        <f t="shared" si="143"/>
        <v>-9850546.661521839</v>
      </c>
      <c r="FB114" s="5">
        <f t="shared" si="143"/>
        <v>-9918821.6438462101</v>
      </c>
      <c r="FC114" s="5">
        <f t="shared" si="143"/>
        <v>-9987183.3478732537</v>
      </c>
      <c r="FD114" s="5">
        <f t="shared" si="143"/>
        <v>-10055632.279479569</v>
      </c>
      <c r="FE114" s="5">
        <f t="shared" si="143"/>
        <v>-10124168.9474927</v>
      </c>
      <c r="FF114" s="5">
        <f t="shared" si="143"/>
        <v>-10192793.863708355</v>
      </c>
      <c r="FG114" s="5">
        <f t="shared" si="143"/>
        <v>-10261507.542907713</v>
      </c>
      <c r="FH114" s="5">
        <f t="shared" si="143"/>
        <v>-10330310.502874848</v>
      </c>
      <c r="FI114" s="5">
        <f t="shared" si="143"/>
        <v>-10399203.264414238</v>
      </c>
      <c r="FJ114" s="5">
        <f t="shared" si="143"/>
        <v>-10468186.351368388</v>
      </c>
      <c r="FK114" s="5">
        <f t="shared" si="143"/>
        <v>-10537260.29063555</v>
      </c>
      <c r="FL114" s="5">
        <f t="shared" si="143"/>
        <v>-10606425.612187551</v>
      </c>
      <c r="FM114" s="5">
        <f t="shared" si="143"/>
        <v>-10675682.849087719</v>
      </c>
      <c r="FN114" s="5">
        <f t="shared" si="143"/>
        <v>-10745032.537508918</v>
      </c>
      <c r="FO114" s="5">
        <f t="shared" si="143"/>
        <v>-10814475.216751687</v>
      </c>
      <c r="FP114" s="5">
        <f t="shared" si="143"/>
        <v>-10884011.429262487</v>
      </c>
      <c r="FQ114" s="5">
        <f t="shared" si="143"/>
        <v>-10953641.720652046</v>
      </c>
      <c r="FR114" s="5">
        <f t="shared" si="143"/>
        <v>-11023366.639713824</v>
      </c>
      <c r="FS114" s="5">
        <f t="shared" si="143"/>
        <v>-11093186.738442576</v>
      </c>
      <c r="FT114" s="5">
        <f t="shared" si="143"/>
        <v>-11163102.572053025</v>
      </c>
      <c r="FU114" s="5">
        <f t="shared" si="143"/>
        <v>-11233114.698998649</v>
      </c>
      <c r="FV114" s="5">
        <f t="shared" si="143"/>
        <v>-11303223.680990569</v>
      </c>
      <c r="FW114" s="5">
        <f t="shared" si="143"/>
        <v>-11373430.083016556</v>
      </c>
      <c r="FX114" s="5">
        <f t="shared" si="143"/>
        <v>-11443734.47336014</v>
      </c>
      <c r="FY114" s="5">
        <f t="shared" si="143"/>
        <v>-11514137.423619842</v>
      </c>
      <c r="FZ114" s="5">
        <f t="shared" si="143"/>
        <v>-11584639.508728506</v>
      </c>
      <c r="GA114" s="5">
        <f t="shared" si="143"/>
        <v>-11655241.306972751</v>
      </c>
      <c r="GB114" s="5">
        <f t="shared" si="143"/>
        <v>-11725943.400012534</v>
      </c>
      <c r="GC114" s="5">
        <f t="shared" si="143"/>
        <v>-11796746.372900829</v>
      </c>
      <c r="GD114" s="5">
        <f t="shared" si="143"/>
        <v>-11867650.814103419</v>
      </c>
      <c r="GE114" s="5">
        <f t="shared" si="143"/>
        <v>-11938657.315518804</v>
      </c>
      <c r="GF114" s="5">
        <f t="shared" si="143"/>
        <v>-12009766.472498225</v>
      </c>
      <c r="GG114" s="5">
        <f t="shared" si="143"/>
        <v>-12080978.883865807</v>
      </c>
      <c r="GH114" s="5">
        <f t="shared" si="143"/>
        <v>-12152295.151938813</v>
      </c>
      <c r="GI114" s="5">
        <f t="shared" si="143"/>
        <v>-12223715.882548025</v>
      </c>
      <c r="GJ114" s="5">
        <f t="shared" si="143"/>
        <v>-12295241.685058238</v>
      </c>
      <c r="GK114" s="5">
        <f t="shared" si="143"/>
        <v>-12366873.172388874</v>
      </c>
      <c r="GL114" s="5">
        <f t="shared" si="143"/>
        <v>-12438610.961034719</v>
      </c>
      <c r="GM114" s="5">
        <f t="shared" si="143"/>
        <v>-12510455.671086777</v>
      </c>
      <c r="GN114" s="5">
        <f t="shared" ref="GN114:IY114" si="144">IF(GN95&lt;=$B$92, GM114+GN113, 0)</f>
        <v>-12582407.926253252</v>
      </c>
      <c r="GO114" s="5">
        <f t="shared" si="144"/>
        <v>-12654468.353880646</v>
      </c>
      <c r="GP114" s="5">
        <f t="shared" si="144"/>
        <v>-12726637.584974978</v>
      </c>
      <c r="GQ114" s="5">
        <f t="shared" si="144"/>
        <v>-12798916.254223142</v>
      </c>
      <c r="GR114" s="5">
        <f t="shared" si="144"/>
        <v>-12871305.000014367</v>
      </c>
      <c r="GS114" s="5">
        <f t="shared" si="144"/>
        <v>-12943804.46446182</v>
      </c>
      <c r="GT114" s="5">
        <f t="shared" si="144"/>
        <v>-13016415.293424331</v>
      </c>
      <c r="GU114" s="5">
        <f t="shared" si="144"/>
        <v>-13089138.136528235</v>
      </c>
      <c r="GV114" s="5">
        <f t="shared" si="144"/>
        <v>-13161973.64718936</v>
      </c>
      <c r="GW114" s="5">
        <f t="shared" si="144"/>
        <v>-13234922.482635122</v>
      </c>
      <c r="GX114" s="5">
        <f t="shared" si="144"/>
        <v>-13307985.303926762</v>
      </c>
      <c r="GY114" s="5">
        <f t="shared" si="144"/>
        <v>-13381162.775981719</v>
      </c>
      <c r="GZ114" s="5">
        <f t="shared" si="144"/>
        <v>-13454455.567596108</v>
      </c>
      <c r="HA114" s="5">
        <f t="shared" si="144"/>
        <v>-13527864.351467362</v>
      </c>
      <c r="HB114" s="5">
        <f t="shared" si="144"/>
        <v>-13601389.804216977</v>
      </c>
      <c r="HC114" s="5">
        <f t="shared" si="144"/>
        <v>-13675032.606413413</v>
      </c>
      <c r="HD114" s="5">
        <f t="shared" si="144"/>
        <v>-13748793.442595107</v>
      </c>
      <c r="HE114" s="5">
        <f t="shared" si="144"/>
        <v>-13822673.001293642</v>
      </c>
      <c r="HF114" s="5">
        <f t="shared" si="144"/>
        <v>-13896671.975057032</v>
      </c>
      <c r="HG114" s="5">
        <f t="shared" si="144"/>
        <v>-13970791.060473155</v>
      </c>
      <c r="HH114" s="5">
        <f t="shared" si="144"/>
        <v>-14045030.958193319</v>
      </c>
      <c r="HI114" s="5">
        <f t="shared" si="144"/>
        <v>-14119392.372955963</v>
      </c>
      <c r="HJ114" s="5">
        <f t="shared" si="144"/>
        <v>-14193876.013610503</v>
      </c>
      <c r="HK114" s="5">
        <f t="shared" si="144"/>
        <v>-14268908.683465054</v>
      </c>
      <c r="HL114" s="5">
        <f t="shared" si="144"/>
        <v>-14344673.075543916</v>
      </c>
      <c r="HM114" s="5">
        <f t="shared" si="144"/>
        <v>-14421175.485114075</v>
      </c>
      <c r="HN114" s="5">
        <f t="shared" si="144"/>
        <v>-14498422.262744717</v>
      </c>
      <c r="HO114" s="5">
        <f t="shared" si="144"/>
        <v>-14576419.814800125</v>
      </c>
      <c r="HP114" s="5">
        <f t="shared" si="144"/>
        <v>-14655174.603937032</v>
      </c>
      <c r="HQ114" s="5">
        <f t="shared" si="144"/>
        <v>-14734693.149606448</v>
      </c>
      <c r="HR114" s="5">
        <f t="shared" si="144"/>
        <v>-14814982.028559996</v>
      </c>
      <c r="HS114" s="5">
        <f t="shared" si="144"/>
        <v>-14896047.875360815</v>
      </c>
      <c r="HT114" s="5">
        <f t="shared" si="144"/>
        <v>-14977897.382899059</v>
      </c>
      <c r="HU114" s="5">
        <f t="shared" si="144"/>
        <v>-15060537.302912038</v>
      </c>
      <c r="HV114" s="5">
        <f t="shared" si="144"/>
        <v>-15143974.446509039</v>
      </c>
      <c r="HW114" s="5">
        <f t="shared" si="144"/>
        <v>-15228215.684700876</v>
      </c>
      <c r="HX114" s="5">
        <f t="shared" si="144"/>
        <v>-15313267.948934212</v>
      </c>
      <c r="HY114" s="5">
        <f t="shared" si="144"/>
        <v>-15399138.231630681</v>
      </c>
      <c r="HZ114" s="5">
        <f t="shared" si="144"/>
        <v>-15485833.586730881</v>
      </c>
      <c r="IA114" s="5">
        <f t="shared" si="144"/>
        <v>-15573361.130243247</v>
      </c>
      <c r="IB114" s="5">
        <f t="shared" si="144"/>
        <v>-15661728.040797895</v>
      </c>
      <c r="IC114" s="5">
        <f t="shared" si="144"/>
        <v>-15750941.560205422</v>
      </c>
      <c r="ID114" s="5">
        <f t="shared" si="144"/>
        <v>-15841008.994020766</v>
      </c>
      <c r="IE114" s="5">
        <f t="shared" si="144"/>
        <v>-15931937.712112129</v>
      </c>
      <c r="IF114" s="5">
        <f t="shared" si="144"/>
        <v>-16023735.14923504</v>
      </c>
      <c r="IG114" s="5">
        <f t="shared" si="144"/>
        <v>-16116408.805611573</v>
      </c>
      <c r="IH114" s="5">
        <f t="shared" si="144"/>
        <v>-16209966.247514799</v>
      </c>
      <c r="II114" s="5">
        <f t="shared" si="144"/>
        <v>-16234340.036468407</v>
      </c>
      <c r="IJ114" s="5">
        <f t="shared" si="144"/>
        <v>-16258856.005857578</v>
      </c>
      <c r="IK114" s="5">
        <f t="shared" si="144"/>
        <v>-16283514.985068185</v>
      </c>
      <c r="IL114" s="5">
        <f t="shared" si="144"/>
        <v>-16308317.808324188</v>
      </c>
      <c r="IM114" s="5">
        <f t="shared" si="144"/>
        <v>-16333265.314715851</v>
      </c>
      <c r="IN114" s="5">
        <f t="shared" si="144"/>
        <v>-16358358.34822813</v>
      </c>
      <c r="IO114" s="5">
        <f t="shared" si="144"/>
        <v>-16383597.757769233</v>
      </c>
      <c r="IP114" s="5">
        <f t="shared" si="144"/>
        <v>-16408984.397199323</v>
      </c>
      <c r="IQ114" s="5">
        <f t="shared" si="144"/>
        <v>-16434519.125359423</v>
      </c>
      <c r="IR114" s="5">
        <f t="shared" si="144"/>
        <v>-16460202.806100458</v>
      </c>
      <c r="IS114" s="5">
        <f t="shared" si="144"/>
        <v>-16486036.308312481</v>
      </c>
      <c r="IT114" s="5">
        <f t="shared" si="144"/>
        <v>-16512020.505954076</v>
      </c>
      <c r="IU114" s="5">
        <f t="shared" si="144"/>
        <v>-16538156.278081913</v>
      </c>
      <c r="IV114" s="5">
        <f t="shared" si="144"/>
        <v>-16564444.508880494</v>
      </c>
      <c r="IW114" s="5">
        <f t="shared" si="144"/>
        <v>-16590886.087692069</v>
      </c>
      <c r="IX114" s="5">
        <f t="shared" si="144"/>
        <v>-16617481.909046711</v>
      </c>
      <c r="IY114" s="5">
        <f t="shared" si="144"/>
        <v>-16644232.872692589</v>
      </c>
      <c r="IZ114" s="5">
        <f t="shared" ref="IZ114:LK114" si="145">IF(IZ95&lt;=$B$92, IY114+IZ113, 0)</f>
        <v>-16671139.8836264</v>
      </c>
      <c r="JA114" s="5">
        <f t="shared" si="145"/>
        <v>-16698203.852123991</v>
      </c>
      <c r="JB114" s="5">
        <f t="shared" si="145"/>
        <v>-16725425.693771152</v>
      </c>
      <c r="JC114" s="5">
        <f t="shared" si="145"/>
        <v>-16752806.329494588</v>
      </c>
      <c r="JD114" s="5">
        <f t="shared" si="145"/>
        <v>-16780346.685593076</v>
      </c>
      <c r="JE114" s="5">
        <f t="shared" si="145"/>
        <v>-16808047.693768807</v>
      </c>
      <c r="JF114" s="5">
        <f t="shared" si="145"/>
        <v>-16835910.291158896</v>
      </c>
      <c r="JG114" s="5">
        <f t="shared" si="145"/>
        <v>-16863935.420367096</v>
      </c>
      <c r="JH114" s="5">
        <f t="shared" si="145"/>
        <v>-16892124.029495675</v>
      </c>
      <c r="JI114" s="5">
        <f t="shared" si="145"/>
        <v>-16920477.072177503</v>
      </c>
      <c r="JJ114" s="5">
        <f t="shared" si="145"/>
        <v>-16948995.507608309</v>
      </c>
      <c r="JK114" s="5">
        <f t="shared" si="145"/>
        <v>-16977680.300579131</v>
      </c>
      <c r="JL114" s="5">
        <f t="shared" si="145"/>
        <v>-17006532.421508946</v>
      </c>
      <c r="JM114" s="5">
        <f t="shared" si="145"/>
        <v>-17035552.84647752</v>
      </c>
      <c r="JN114" s="5">
        <f t="shared" si="145"/>
        <v>-17064742.557258409</v>
      </c>
      <c r="JO114" s="5">
        <f t="shared" si="145"/>
        <v>-17094102.541352186</v>
      </c>
      <c r="JP114" s="5">
        <f t="shared" si="145"/>
        <v>-17123633.792019844</v>
      </c>
      <c r="JQ114" s="5">
        <f t="shared" si="145"/>
        <v>-17153337.308316398</v>
      </c>
      <c r="JR114" s="5">
        <f t="shared" si="145"/>
        <v>-17183214.095124681</v>
      </c>
      <c r="JS114" s="5">
        <f t="shared" si="145"/>
        <v>-17213265.163189344</v>
      </c>
      <c r="JT114" s="5">
        <f t="shared" si="145"/>
        <v>-17243491.529151052</v>
      </c>
      <c r="JU114" s="5">
        <f t="shared" si="145"/>
        <v>-17273894.215580869</v>
      </c>
      <c r="JV114" s="5">
        <f t="shared" si="145"/>
        <v>-17304474.251014862</v>
      </c>
      <c r="JW114" s="5">
        <f t="shared" si="145"/>
        <v>-17335232.669988886</v>
      </c>
      <c r="JX114" s="5">
        <f t="shared" si="145"/>
        <v>-17366170.513073593</v>
      </c>
      <c r="JY114" s="5">
        <f t="shared" si="145"/>
        <v>-17397288.826909628</v>
      </c>
      <c r="JZ114" s="5">
        <f t="shared" si="145"/>
        <v>-17428588.664243039</v>
      </c>
      <c r="KA114" s="5">
        <f t="shared" si="145"/>
        <v>-17460071.083960894</v>
      </c>
      <c r="KB114" s="5">
        <f t="shared" si="145"/>
        <v>-17491737.151127104</v>
      </c>
      <c r="KC114" s="5">
        <f t="shared" si="145"/>
        <v>-17523587.93701845</v>
      </c>
      <c r="KD114" s="5">
        <f t="shared" si="145"/>
        <v>-17555624.519160829</v>
      </c>
      <c r="KE114" s="5">
        <f t="shared" si="145"/>
        <v>-17587847.981365707</v>
      </c>
      <c r="KF114" s="5">
        <f t="shared" si="145"/>
        <v>-17620259.413766779</v>
      </c>
      <c r="KG114" s="5">
        <f t="shared" si="145"/>
        <v>-17652859.912856858</v>
      </c>
      <c r="KH114" s="5">
        <f t="shared" si="145"/>
        <v>-17685650.581524961</v>
      </c>
      <c r="KI114" s="5">
        <f t="shared" si="145"/>
        <v>-17718632.529093627</v>
      </c>
      <c r="KJ114" s="5">
        <f t="shared" si="145"/>
        <v>-17751806.871356443</v>
      </c>
      <c r="KK114" s="5">
        <f t="shared" si="145"/>
        <v>-17785174.730615795</v>
      </c>
      <c r="KL114" s="5">
        <f t="shared" si="145"/>
        <v>-17818737.235720824</v>
      </c>
      <c r="KM114" s="5">
        <f t="shared" si="145"/>
        <v>-17852495.522105634</v>
      </c>
      <c r="KN114" s="5">
        <f t="shared" si="145"/>
        <v>-17886450.731827687</v>
      </c>
      <c r="KO114" s="5">
        <f t="shared" si="145"/>
        <v>-17920604.013606455</v>
      </c>
      <c r="KP114" s="5">
        <f t="shared" si="145"/>
        <v>-17954956.522862263</v>
      </c>
      <c r="KQ114" s="5">
        <f t="shared" si="145"/>
        <v>-17989509.421755396</v>
      </c>
      <c r="KR114" s="5">
        <f t="shared" si="145"/>
        <v>-18024263.879225407</v>
      </c>
      <c r="KS114" s="5">
        <f t="shared" si="145"/>
        <v>-18059221.071030658</v>
      </c>
      <c r="KT114" s="5">
        <f t="shared" si="145"/>
        <v>-18094382.179788109</v>
      </c>
      <c r="KU114" s="5">
        <f t="shared" si="145"/>
        <v>-18129748.39501331</v>
      </c>
      <c r="KV114" s="5">
        <f t="shared" si="145"/>
        <v>-18165320.913160659</v>
      </c>
      <c r="KW114" s="5">
        <f t="shared" si="145"/>
        <v>-18201100.937663868</v>
      </c>
      <c r="KX114" s="5">
        <f t="shared" si="145"/>
        <v>-18237089.678976677</v>
      </c>
      <c r="KY114" s="5">
        <f t="shared" si="145"/>
        <v>-18273288.354613811</v>
      </c>
      <c r="KZ114" s="5">
        <f t="shared" si="145"/>
        <v>-18309698.189192161</v>
      </c>
      <c r="LA114" s="5">
        <f t="shared" si="145"/>
        <v>-18346320.414472219</v>
      </c>
      <c r="LB114" s="5">
        <f t="shared" si="145"/>
        <v>-18383156.269399744</v>
      </c>
      <c r="LC114" s="5">
        <f t="shared" si="145"/>
        <v>-18420207.000147682</v>
      </c>
      <c r="LD114" s="5">
        <f t="shared" si="145"/>
        <v>-18457473.860158313</v>
      </c>
      <c r="LE114" s="5">
        <f t="shared" si="145"/>
        <v>-18494958.110185675</v>
      </c>
      <c r="LF114" s="5">
        <f t="shared" si="145"/>
        <v>-18532661.018338196</v>
      </c>
      <c r="LG114" s="5">
        <f t="shared" si="145"/>
        <v>-18570583.860121608</v>
      </c>
      <c r="LH114" s="5">
        <f t="shared" si="145"/>
        <v>-18608727.918482088</v>
      </c>
      <c r="LI114" s="5">
        <f t="shared" si="145"/>
        <v>-18647094.483849671</v>
      </c>
      <c r="LJ114" s="5">
        <f t="shared" si="145"/>
        <v>-18685684.854181897</v>
      </c>
      <c r="LK114" s="5">
        <f t="shared" si="145"/>
        <v>-18724500.335007731</v>
      </c>
      <c r="LL114" s="5">
        <f t="shared" ref="LL114:NW114" si="146">IF(LL95&lt;=$B$92, LK114+LL113, 0)</f>
        <v>-18763542.239471715</v>
      </c>
      <c r="LM114" s="5">
        <f t="shared" si="146"/>
        <v>-18802811.888378404</v>
      </c>
      <c r="LN114" s="5">
        <f t="shared" si="146"/>
        <v>-18842310.610237051</v>
      </c>
      <c r="LO114" s="5">
        <f t="shared" si="146"/>
        <v>-18882039.74130654</v>
      </c>
      <c r="LP114" s="5">
        <f t="shared" si="146"/>
        <v>-18922000.625640601</v>
      </c>
      <c r="LQ114" s="5">
        <f t="shared" si="146"/>
        <v>-18962194.615133274</v>
      </c>
      <c r="LR114" s="5">
        <f t="shared" si="146"/>
        <v>-19002623.069564655</v>
      </c>
      <c r="LS114" s="5">
        <f t="shared" si="146"/>
        <v>-19043287.356646888</v>
      </c>
      <c r="LT114" s="5">
        <f t="shared" si="146"/>
        <v>-19084188.852070432</v>
      </c>
      <c r="LU114" s="5">
        <f t="shared" si="146"/>
        <v>-19125328.939550616</v>
      </c>
      <c r="LV114" s="5">
        <f t="shared" si="146"/>
        <v>-19166709.010874432</v>
      </c>
      <c r="LW114" s="5">
        <f t="shared" si="146"/>
        <v>-19208330.465947635</v>
      </c>
      <c r="LX114" s="5">
        <f t="shared" si="146"/>
        <v>-19250194.712842103</v>
      </c>
      <c r="LY114" s="5">
        <f t="shared" si="146"/>
        <v>-19292303.167843454</v>
      </c>
      <c r="LZ114" s="5">
        <f t="shared" si="146"/>
        <v>-19334657.255498979</v>
      </c>
      <c r="MA114" s="5">
        <f t="shared" si="146"/>
        <v>-19377258.408665828</v>
      </c>
      <c r="MB114" s="5">
        <f t="shared" si="146"/>
        <v>-19420108.068559483</v>
      </c>
      <c r="MC114" s="5">
        <f t="shared" si="146"/>
        <v>-19463207.684802517</v>
      </c>
      <c r="MD114" s="5">
        <f t="shared" si="146"/>
        <v>-19506558.715473637</v>
      </c>
      <c r="ME114" s="5">
        <f t="shared" si="146"/>
        <v>-19550162.627157003</v>
      </c>
      <c r="MF114" s="5">
        <f t="shared" si="146"/>
        <v>-19594020.894991856</v>
      </c>
      <c r="MG114" s="5">
        <f t="shared" si="146"/>
        <v>-19638135.002722412</v>
      </c>
      <c r="MH114" s="5">
        <f t="shared" si="146"/>
        <v>-19682506.442748066</v>
      </c>
      <c r="MI114" s="5">
        <f t="shared" si="146"/>
        <v>-19727136.716173869</v>
      </c>
      <c r="MJ114" s="5">
        <f t="shared" si="146"/>
        <v>-19772027.332861319</v>
      </c>
      <c r="MK114" s="5">
        <f t="shared" si="146"/>
        <v>-19817179.811479449</v>
      </c>
      <c r="ML114" s="5">
        <f t="shared" si="146"/>
        <v>-19862595.679556184</v>
      </c>
      <c r="MM114" s="5">
        <f t="shared" si="146"/>
        <v>-19908276.473530032</v>
      </c>
      <c r="MN114" s="5">
        <f t="shared" si="146"/>
        <v>-19954223.73880206</v>
      </c>
      <c r="MO114" s="5">
        <f t="shared" si="146"/>
        <v>-20000439.029788177</v>
      </c>
      <c r="MP114" s="5">
        <f t="shared" si="146"/>
        <v>-20046923.909971714</v>
      </c>
      <c r="MQ114" s="5">
        <f t="shared" si="146"/>
        <v>-20093679.951956321</v>
      </c>
      <c r="MR114" s="5">
        <f t="shared" si="146"/>
        <v>-20140708.737519171</v>
      </c>
      <c r="MS114" s="5">
        <f t="shared" si="146"/>
        <v>-20188011.85766447</v>
      </c>
      <c r="MT114" s="5">
        <f t="shared" si="146"/>
        <v>-20235590.912677284</v>
      </c>
      <c r="MU114" s="5">
        <f t="shared" si="146"/>
        <v>-20283447.512177672</v>
      </c>
      <c r="MV114" s="5">
        <f t="shared" si="146"/>
        <v>-20331583.275175147</v>
      </c>
      <c r="MW114" s="5">
        <f t="shared" si="146"/>
        <v>-20379999.830123439</v>
      </c>
      <c r="MX114" s="5">
        <f t="shared" si="146"/>
        <v>-20428698.814975597</v>
      </c>
      <c r="MY114" s="5">
        <f t="shared" si="146"/>
        <v>0</v>
      </c>
      <c r="MZ114" s="5">
        <f t="shared" si="146"/>
        <v>0</v>
      </c>
      <c r="NA114" s="5">
        <f t="shared" si="146"/>
        <v>0</v>
      </c>
      <c r="NB114" s="5">
        <f t="shared" si="146"/>
        <v>0</v>
      </c>
      <c r="NC114" s="5">
        <f t="shared" si="146"/>
        <v>0</v>
      </c>
      <c r="ND114" s="5">
        <f t="shared" si="146"/>
        <v>0</v>
      </c>
      <c r="NE114" s="5">
        <f t="shared" si="146"/>
        <v>0</v>
      </c>
      <c r="NF114" s="5">
        <f t="shared" si="146"/>
        <v>0</v>
      </c>
      <c r="NG114" s="5">
        <f t="shared" si="146"/>
        <v>0</v>
      </c>
      <c r="NH114" s="5">
        <f t="shared" si="146"/>
        <v>0</v>
      </c>
      <c r="NI114" s="5">
        <f t="shared" si="146"/>
        <v>0</v>
      </c>
      <c r="NJ114" s="5">
        <f t="shared" si="146"/>
        <v>0</v>
      </c>
      <c r="NK114" s="5">
        <f t="shared" si="146"/>
        <v>0</v>
      </c>
      <c r="NL114" s="5">
        <f t="shared" si="146"/>
        <v>0</v>
      </c>
      <c r="NM114" s="5">
        <f t="shared" si="146"/>
        <v>0</v>
      </c>
      <c r="NN114" s="5">
        <f t="shared" si="146"/>
        <v>0</v>
      </c>
      <c r="NO114" s="5">
        <f t="shared" si="146"/>
        <v>0</v>
      </c>
      <c r="NP114" s="5">
        <f t="shared" si="146"/>
        <v>0</v>
      </c>
      <c r="NQ114" s="5">
        <f t="shared" si="146"/>
        <v>0</v>
      </c>
      <c r="NR114" s="5">
        <f t="shared" si="146"/>
        <v>0</v>
      </c>
      <c r="NS114" s="5">
        <f t="shared" si="146"/>
        <v>0</v>
      </c>
      <c r="NT114" s="5">
        <f t="shared" si="146"/>
        <v>0</v>
      </c>
      <c r="NU114" s="5">
        <f t="shared" si="146"/>
        <v>0</v>
      </c>
      <c r="NV114" s="5">
        <f t="shared" si="146"/>
        <v>0</v>
      </c>
      <c r="NW114" s="5">
        <f t="shared" si="146"/>
        <v>0</v>
      </c>
      <c r="NX114" s="5">
        <f t="shared" ref="NX114:PF114" si="147">IF(NX95&lt;=$B$92, NW114+NX113, 0)</f>
        <v>0</v>
      </c>
      <c r="NY114" s="5">
        <f t="shared" si="147"/>
        <v>0</v>
      </c>
      <c r="NZ114" s="5">
        <f t="shared" si="147"/>
        <v>0</v>
      </c>
      <c r="OA114" s="5">
        <f t="shared" si="147"/>
        <v>0</v>
      </c>
      <c r="OB114" s="5">
        <f t="shared" si="147"/>
        <v>0</v>
      </c>
      <c r="OC114" s="5">
        <f t="shared" si="147"/>
        <v>0</v>
      </c>
      <c r="OD114" s="5">
        <f t="shared" si="147"/>
        <v>0</v>
      </c>
      <c r="OE114" s="5">
        <f t="shared" si="147"/>
        <v>0</v>
      </c>
      <c r="OF114" s="5">
        <f t="shared" si="147"/>
        <v>0</v>
      </c>
      <c r="OG114" s="5">
        <f t="shared" si="147"/>
        <v>0</v>
      </c>
      <c r="OH114" s="5">
        <f t="shared" si="147"/>
        <v>0</v>
      </c>
      <c r="OI114" s="5">
        <f t="shared" si="147"/>
        <v>0</v>
      </c>
      <c r="OJ114" s="5">
        <f t="shared" si="147"/>
        <v>0</v>
      </c>
      <c r="OK114" s="5">
        <f t="shared" si="147"/>
        <v>0</v>
      </c>
      <c r="OL114" s="5">
        <f t="shared" si="147"/>
        <v>0</v>
      </c>
      <c r="OM114" s="5">
        <f t="shared" si="147"/>
        <v>0</v>
      </c>
      <c r="ON114" s="5">
        <f t="shared" si="147"/>
        <v>0</v>
      </c>
      <c r="OO114" s="5">
        <f t="shared" si="147"/>
        <v>0</v>
      </c>
      <c r="OP114" s="5">
        <f t="shared" si="147"/>
        <v>0</v>
      </c>
      <c r="OQ114" s="5">
        <f t="shared" si="147"/>
        <v>0</v>
      </c>
      <c r="OR114" s="5">
        <f t="shared" si="147"/>
        <v>0</v>
      </c>
      <c r="OS114" s="5">
        <f t="shared" si="147"/>
        <v>0</v>
      </c>
      <c r="OT114" s="5">
        <f t="shared" si="147"/>
        <v>0</v>
      </c>
      <c r="OU114" s="5">
        <f t="shared" si="147"/>
        <v>0</v>
      </c>
      <c r="OV114" s="5">
        <f t="shared" si="147"/>
        <v>0</v>
      </c>
      <c r="OW114" s="5">
        <f t="shared" si="147"/>
        <v>0</v>
      </c>
      <c r="OX114" s="5">
        <f t="shared" si="147"/>
        <v>0</v>
      </c>
      <c r="OY114" s="5">
        <f t="shared" si="147"/>
        <v>0</v>
      </c>
      <c r="OZ114" s="5">
        <f t="shared" si="147"/>
        <v>0</v>
      </c>
      <c r="PA114" s="5">
        <f t="shared" si="147"/>
        <v>0</v>
      </c>
      <c r="PB114" s="5">
        <f t="shared" si="147"/>
        <v>0</v>
      </c>
      <c r="PC114" s="5">
        <f t="shared" si="147"/>
        <v>0</v>
      </c>
      <c r="PD114" s="5">
        <f t="shared" si="147"/>
        <v>0</v>
      </c>
      <c r="PE114" s="5">
        <f t="shared" si="147"/>
        <v>0</v>
      </c>
      <c r="PF114" s="5">
        <f t="shared" si="147"/>
        <v>0</v>
      </c>
    </row>
    <row r="115" spans="1:422" hidden="1">
      <c r="A115" s="6"/>
      <c r="C115" s="18"/>
    </row>
    <row r="116" spans="1:422" s="11" customFormat="1" ht="45" hidden="1">
      <c r="A116" s="13" t="s">
        <v>65</v>
      </c>
      <c r="B116" s="10"/>
      <c r="C116" s="19">
        <f t="shared" ref="C116:BN116" si="148">IF(C95&lt;=$B$92, C100+C114, 0)</f>
        <v>2004873.4047234182</v>
      </c>
      <c r="D116" s="10">
        <f t="shared" si="148"/>
        <v>2010221.3149223214</v>
      </c>
      <c r="E116" s="10">
        <f t="shared" si="148"/>
        <v>2016047.0633181978</v>
      </c>
      <c r="F116" s="10">
        <f t="shared" si="148"/>
        <v>2022354.0072504962</v>
      </c>
      <c r="G116" s="10">
        <f t="shared" si="148"/>
        <v>2029145.5288676852</v>
      </c>
      <c r="H116" s="10">
        <f t="shared" si="148"/>
        <v>2036425.0353198671</v>
      </c>
      <c r="I116" s="10">
        <f t="shared" si="148"/>
        <v>2044195.9589529519</v>
      </c>
      <c r="J116" s="10">
        <f t="shared" si="148"/>
        <v>2052461.7575044006</v>
      </c>
      <c r="K116" s="10">
        <f t="shared" si="148"/>
        <v>2061225.91430057</v>
      </c>
      <c r="L116" s="10">
        <f t="shared" si="148"/>
        <v>2070491.9384556517</v>
      </c>
      <c r="M116" s="10">
        <f t="shared" si="148"/>
        <v>2080263.3650722252</v>
      </c>
      <c r="N116" s="10">
        <f t="shared" si="148"/>
        <v>2090543.7554434445</v>
      </c>
      <c r="O116" s="10">
        <f t="shared" si="148"/>
        <v>2101336.6972568724</v>
      </c>
      <c r="P116" s="10">
        <f t="shared" si="148"/>
        <v>2112645.8047999591</v>
      </c>
      <c r="Q116" s="10">
        <f t="shared" si="148"/>
        <v>2124474.7191672027</v>
      </c>
      <c r="R116" s="10">
        <f t="shared" si="148"/>
        <v>2136827.1084689903</v>
      </c>
      <c r="S116" s="10">
        <f t="shared" si="148"/>
        <v>2149706.6680421382</v>
      </c>
      <c r="T116" s="10">
        <f t="shared" si="148"/>
        <v>2163117.120662149</v>
      </c>
      <c r="U116" s="10">
        <f t="shared" si="148"/>
        <v>2177062.2167571895</v>
      </c>
      <c r="V116" s="10">
        <f t="shared" si="148"/>
        <v>2191545.7346238177</v>
      </c>
      <c r="W116" s="10">
        <f t="shared" si="148"/>
        <v>2206571.4806444673</v>
      </c>
      <c r="X116" s="10">
        <f t="shared" si="148"/>
        <v>2222143.2895066999</v>
      </c>
      <c r="Y116" s="10">
        <f t="shared" si="148"/>
        <v>2238265.0244242437</v>
      </c>
      <c r="Z116" s="10">
        <f t="shared" si="148"/>
        <v>2254940.5773598426</v>
      </c>
      <c r="AA116" s="10">
        <f t="shared" si="148"/>
        <v>2272173.8692499101</v>
      </c>
      <c r="AB116" s="10">
        <f t="shared" si="148"/>
        <v>2289968.8502310268</v>
      </c>
      <c r="AC116" s="10">
        <f t="shared" si="148"/>
        <v>2308329.499868283</v>
      </c>
      <c r="AD116" s="10">
        <f t="shared" si="148"/>
        <v>2327259.8273854782</v>
      </c>
      <c r="AE116" s="10">
        <f t="shared" si="148"/>
        <v>2346763.8718972118</v>
      </c>
      <c r="AF116" s="10">
        <f t="shared" si="148"/>
        <v>2366845.7026428571</v>
      </c>
      <c r="AG116" s="10">
        <f t="shared" si="148"/>
        <v>2387509.4192224578</v>
      </c>
      <c r="AH116" s="10">
        <f t="shared" si="148"/>
        <v>2408759.1518345429</v>
      </c>
      <c r="AI116" s="10">
        <f t="shared" si="148"/>
        <v>2430599.0615158905</v>
      </c>
      <c r="AJ116" s="10">
        <f t="shared" si="148"/>
        <v>2453033.3403832521</v>
      </c>
      <c r="AK116" s="10">
        <f t="shared" si="148"/>
        <v>2475962.6831334657</v>
      </c>
      <c r="AL116" s="10">
        <f t="shared" si="148"/>
        <v>2499379.3411730872</v>
      </c>
      <c r="AM116" s="10">
        <f t="shared" si="148"/>
        <v>2523286.5422824612</v>
      </c>
      <c r="AN116" s="10">
        <f t="shared" si="148"/>
        <v>2547687.5366008054</v>
      </c>
      <c r="AO116" s="10">
        <f t="shared" si="148"/>
        <v>2572585.5967889987</v>
      </c>
      <c r="AP116" s="10">
        <f t="shared" si="148"/>
        <v>2597984.0181936119</v>
      </c>
      <c r="AQ116" s="10">
        <f t="shared" si="148"/>
        <v>2623886.1190121975</v>
      </c>
      <c r="AR116" s="10">
        <f t="shared" si="148"/>
        <v>2650295.2404598463</v>
      </c>
      <c r="AS116" s="10">
        <f t="shared" si="148"/>
        <v>2677214.7469370174</v>
      </c>
      <c r="AT116" s="10">
        <f t="shared" si="148"/>
        <v>2704648.0261986572</v>
      </c>
      <c r="AU116" s="10">
        <f t="shared" si="148"/>
        <v>2732598.4895246145</v>
      </c>
      <c r="AV116" s="10">
        <f t="shared" si="148"/>
        <v>2761069.5718913637</v>
      </c>
      <c r="AW116" s="10">
        <f t="shared" si="148"/>
        <v>2790064.7321450431</v>
      </c>
      <c r="AX116" s="10">
        <f t="shared" si="148"/>
        <v>2819587.4531758265</v>
      </c>
      <c r="AY116" s="10">
        <f t="shared" si="148"/>
        <v>2849641.2420936357</v>
      </c>
      <c r="AZ116" s="10">
        <f t="shared" si="148"/>
        <v>2880229.6304051871</v>
      </c>
      <c r="BA116" s="10">
        <f t="shared" si="148"/>
        <v>2911356.174192423</v>
      </c>
      <c r="BB116" s="10">
        <f t="shared" si="148"/>
        <v>2943024.454292295</v>
      </c>
      <c r="BC116" s="10">
        <f t="shared" si="148"/>
        <v>2975238.0764779416</v>
      </c>
      <c r="BD116" s="10">
        <f t="shared" si="148"/>
        <v>3008000.6716412511</v>
      </c>
      <c r="BE116" s="10">
        <f t="shared" si="148"/>
        <v>3041315.8959768387</v>
      </c>
      <c r="BF116" s="10">
        <f t="shared" si="148"/>
        <v>3075187.4311674349</v>
      </c>
      <c r="BG116" s="10">
        <f t="shared" si="148"/>
        <v>3109618.9845706979</v>
      </c>
      <c r="BH116" s="10">
        <f t="shared" si="148"/>
        <v>3144614.2894074754</v>
      </c>
      <c r="BI116" s="10">
        <f t="shared" si="148"/>
        <v>3180177.1049515111</v>
      </c>
      <c r="BJ116" s="10">
        <f t="shared" si="148"/>
        <v>3216311.2167206085</v>
      </c>
      <c r="BK116" s="10">
        <f t="shared" si="148"/>
        <v>3253020.4366692845</v>
      </c>
      <c r="BL116" s="10">
        <f t="shared" si="148"/>
        <v>3290308.603382891</v>
      </c>
      <c r="BM116" s="10">
        <f t="shared" si="148"/>
        <v>3328179.5822732495</v>
      </c>
      <c r="BN116" s="10">
        <f t="shared" si="148"/>
        <v>3366637.2657757886</v>
      </c>
      <c r="BO116" s="10">
        <f t="shared" ref="BO116:DZ116" si="149">IF(BO95&lt;=$B$92, BO100+BO114, 0)</f>
        <v>3405685.5735482057</v>
      </c>
      <c r="BP116" s="10">
        <f t="shared" si="149"/>
        <v>3445328.4526706655</v>
      </c>
      <c r="BQ116" s="10">
        <f t="shared" si="149"/>
        <v>3485569.8778475416</v>
      </c>
      <c r="BR116" s="10">
        <f t="shared" si="149"/>
        <v>3526413.851610723</v>
      </c>
      <c r="BS116" s="10">
        <f t="shared" si="149"/>
        <v>3567864.4045244874</v>
      </c>
      <c r="BT116" s="10">
        <f t="shared" si="149"/>
        <v>3609925.5953919673</v>
      </c>
      <c r="BU116" s="10">
        <f t="shared" si="149"/>
        <v>3652601.5114632053</v>
      </c>
      <c r="BV116" s="10">
        <f t="shared" si="149"/>
        <v>3695896.2686448274</v>
      </c>
      <c r="BW116" s="10">
        <f t="shared" si="149"/>
        <v>3739814.0117113367</v>
      </c>
      <c r="BX116" s="10">
        <f t="shared" si="149"/>
        <v>3784358.9145180415</v>
      </c>
      <c r="BY116" s="10">
        <f t="shared" si="149"/>
        <v>3829535.1802156428</v>
      </c>
      <c r="BZ116" s="10">
        <f t="shared" si="149"/>
        <v>3875347.0414664773</v>
      </c>
      <c r="CA116" s="10">
        <f t="shared" si="149"/>
        <v>3921798.7606624365</v>
      </c>
      <c r="CB116" s="10">
        <f t="shared" si="149"/>
        <v>3968894.6301445896</v>
      </c>
      <c r="CC116" s="10">
        <f t="shared" si="149"/>
        <v>4016638.9724244922</v>
      </c>
      <c r="CD116" s="10">
        <f t="shared" si="149"/>
        <v>4065036.1404072223</v>
      </c>
      <c r="CE116" s="10">
        <f t="shared" si="149"/>
        <v>4114090.5176161584</v>
      </c>
      <c r="CF116" s="10">
        <f t="shared" si="149"/>
        <v>4163806.5184194865</v>
      </c>
      <c r="CG116" s="10">
        <f t="shared" si="149"/>
        <v>4214188.5882584769</v>
      </c>
      <c r="CH116" s="10">
        <f t="shared" si="149"/>
        <v>4265241.2038775356</v>
      </c>
      <c r="CI116" s="10">
        <f t="shared" si="149"/>
        <v>4316968.8735560421</v>
      </c>
      <c r="CJ116" s="10">
        <f t="shared" si="149"/>
        <v>4369376.1373419967</v>
      </c>
      <c r="CK116" s="10">
        <f t="shared" si="149"/>
        <v>4422467.5672874767</v>
      </c>
      <c r="CL116" s="10">
        <f t="shared" si="149"/>
        <v>4476247.7676859368</v>
      </c>
      <c r="CM116" s="10">
        <f t="shared" si="149"/>
        <v>4530721.3753113393</v>
      </c>
      <c r="CN116" s="10">
        <f t="shared" si="149"/>
        <v>4585893.0596591802</v>
      </c>
      <c r="CO116" s="10">
        <f t="shared" si="149"/>
        <v>4641767.5231893566</v>
      </c>
      <c r="CP116" s="10">
        <f t="shared" si="149"/>
        <v>4698349.5015709531</v>
      </c>
      <c r="CQ116" s="10">
        <f t="shared" si="149"/>
        <v>4755643.763928921</v>
      </c>
      <c r="CR116" s="10">
        <f t="shared" si="149"/>
        <v>4813655.1130927028</v>
      </c>
      <c r="CS116" s="10">
        <f t="shared" si="149"/>
        <v>4872388.3858467685</v>
      </c>
      <c r="CT116" s="10">
        <f t="shared" si="149"/>
        <v>4931848.4531831313</v>
      </c>
      <c r="CU116" s="10">
        <f t="shared" si="149"/>
        <v>4992040.2205558298</v>
      </c>
      <c r="CV116" s="10">
        <f t="shared" si="149"/>
        <v>5052968.6281373873</v>
      </c>
      <c r="CW116" s="10">
        <f t="shared" si="149"/>
        <v>5114638.6510772938</v>
      </c>
      <c r="CX116" s="10">
        <f t="shared" si="149"/>
        <v>5177055.2997624846</v>
      </c>
      <c r="CY116" s="10">
        <f t="shared" si="149"/>
        <v>5240223.6200798815</v>
      </c>
      <c r="CZ116" s="10">
        <f t="shared" si="149"/>
        <v>5304148.6936809756</v>
      </c>
      <c r="DA116" s="10">
        <f t="shared" si="149"/>
        <v>5368835.6382484715</v>
      </c>
      <c r="DB116" s="10">
        <f t="shared" si="149"/>
        <v>5434289.6077650432</v>
      </c>
      <c r="DC116" s="10">
        <f t="shared" si="149"/>
        <v>5500515.7927841628</v>
      </c>
      <c r="DD116" s="10">
        <f t="shared" si="149"/>
        <v>5567519.4207030814</v>
      </c>
      <c r="DE116" s="10">
        <f t="shared" si="149"/>
        <v>5635305.7560379244</v>
      </c>
      <c r="DF116" s="10">
        <f t="shared" si="149"/>
        <v>5703880.1007009661</v>
      </c>
      <c r="DG116" s="10">
        <f t="shared" si="149"/>
        <v>5773247.7942800522</v>
      </c>
      <c r="DH116" s="10">
        <f t="shared" si="149"/>
        <v>5843414.214320248</v>
      </c>
      <c r="DI116" s="10">
        <f t="shared" si="149"/>
        <v>5914384.7766076531</v>
      </c>
      <c r="DJ116" s="10">
        <f t="shared" si="149"/>
        <v>5986164.9354554862</v>
      </c>
      <c r="DK116" s="10">
        <f t="shared" si="149"/>
        <v>6058760.1839923887</v>
      </c>
      <c r="DL116" s="10">
        <f t="shared" si="149"/>
        <v>6132176.0544530107</v>
      </c>
      <c r="DM116" s="10">
        <f t="shared" si="149"/>
        <v>6206418.1184708541</v>
      </c>
      <c r="DN116" s="10">
        <f t="shared" si="149"/>
        <v>6281491.9873734554</v>
      </c>
      <c r="DO116" s="10">
        <f t="shared" si="149"/>
        <v>6357403.3124798508</v>
      </c>
      <c r="DP116" s="10">
        <f t="shared" si="149"/>
        <v>6434157.7854004158</v>
      </c>
      <c r="DQ116" s="10">
        <f t="shared" si="149"/>
        <v>6511761.1383390259</v>
      </c>
      <c r="DR116" s="10">
        <f t="shared" si="149"/>
        <v>6590219.1443976369</v>
      </c>
      <c r="DS116" s="10">
        <f t="shared" si="149"/>
        <v>6669537.6178832278</v>
      </c>
      <c r="DT116" s="10">
        <f t="shared" si="149"/>
        <v>6749722.4146171808</v>
      </c>
      <c r="DU116" s="10">
        <f t="shared" si="149"/>
        <v>6830779.4322470976</v>
      </c>
      <c r="DV116" s="10">
        <f t="shared" si="149"/>
        <v>6912714.6105610617</v>
      </c>
      <c r="DW116" s="10">
        <f t="shared" si="149"/>
        <v>6995533.9318043897</v>
      </c>
      <c r="DX116" s="10">
        <f t="shared" si="149"/>
        <v>7079243.4209988667</v>
      </c>
      <c r="DY116" s="10">
        <f t="shared" si="149"/>
        <v>7163849.1462645326</v>
      </c>
      <c r="DZ116" s="10">
        <f t="shared" si="149"/>
        <v>7249357.219143956</v>
      </c>
      <c r="EA116" s="10">
        <f t="shared" ref="EA116:GL116" si="150">IF(EA95&lt;=$B$92, EA100+EA114, 0)</f>
        <v>7335773.7949291207</v>
      </c>
      <c r="EB116" s="10">
        <f t="shared" si="150"/>
        <v>7423105.0729908487</v>
      </c>
      <c r="EC116" s="10">
        <f t="shared" si="150"/>
        <v>7511357.2971108556</v>
      </c>
      <c r="ED116" s="10">
        <f t="shared" si="150"/>
        <v>7600536.7558164233</v>
      </c>
      <c r="EE116" s="10">
        <f t="shared" si="150"/>
        <v>7690649.7827177085</v>
      </c>
      <c r="EF116" s="10">
        <f t="shared" si="150"/>
        <v>7781702.7568477318</v>
      </c>
      <c r="EG116" s="10">
        <f t="shared" si="150"/>
        <v>7873702.1030050386</v>
      </c>
      <c r="EH116" s="10">
        <f t="shared" si="150"/>
        <v>7966654.2920990791</v>
      </c>
      <c r="EI116" s="10">
        <f t="shared" si="150"/>
        <v>8060565.841498347</v>
      </c>
      <c r="EJ116" s="10">
        <f t="shared" si="150"/>
        <v>8155443.3153812103</v>
      </c>
      <c r="EK116" s="10">
        <f t="shared" si="150"/>
        <v>8251293.3250896111</v>
      </c>
      <c r="EL116" s="10">
        <f t="shared" si="150"/>
        <v>8348122.5294854715</v>
      </c>
      <c r="EM116" s="10">
        <f t="shared" si="150"/>
        <v>8445937.6353099979</v>
      </c>
      <c r="EN116" s="10">
        <f t="shared" si="150"/>
        <v>8544745.3975458052</v>
      </c>
      <c r="EO116" s="10">
        <f t="shared" si="150"/>
        <v>8644552.6197818946</v>
      </c>
      <c r="EP116" s="10">
        <f t="shared" si="150"/>
        <v>8745366.1545815691</v>
      </c>
      <c r="EQ116" s="10">
        <f t="shared" si="150"/>
        <v>8847192.9038532283</v>
      </c>
      <c r="ER116" s="10">
        <f t="shared" si="150"/>
        <v>8950039.8192241285</v>
      </c>
      <c r="ES116" s="10">
        <f t="shared" si="150"/>
        <v>9053913.9024171121</v>
      </c>
      <c r="ET116" s="10">
        <f t="shared" si="150"/>
        <v>9158822.205630308</v>
      </c>
      <c r="EU116" s="10">
        <f t="shared" si="150"/>
        <v>9264771.831919875</v>
      </c>
      <c r="EV116" s="10">
        <f t="shared" si="150"/>
        <v>9371769.9355857689</v>
      </c>
      <c r="EW116" s="10">
        <f t="shared" si="150"/>
        <v>9479823.7225605864</v>
      </c>
      <c r="EX116" s="10">
        <f t="shared" si="150"/>
        <v>9588940.4508015029</v>
      </c>
      <c r="EY116" s="10">
        <f t="shared" si="150"/>
        <v>9699127.4306853134</v>
      </c>
      <c r="EZ116" s="10">
        <f t="shared" si="150"/>
        <v>9810392.0254066288</v>
      </c>
      <c r="FA116" s="10">
        <f t="shared" si="150"/>
        <v>9922741.6513792593</v>
      </c>
      <c r="FB116" s="10">
        <f t="shared" si="150"/>
        <v>10036183.778640751</v>
      </c>
      <c r="FC116" s="10">
        <f t="shared" si="150"/>
        <v>10150725.931260185</v>
      </c>
      <c r="FD116" s="10">
        <f t="shared" si="150"/>
        <v>10266375.687749205</v>
      </c>
      <c r="FE116" s="10">
        <f t="shared" si="150"/>
        <v>10383140.681476332</v>
      </c>
      <c r="FF116" s="10">
        <f t="shared" si="150"/>
        <v>10501028.601084575</v>
      </c>
      <c r="FG116" s="10">
        <f t="shared" si="150"/>
        <v>10620047.190912368</v>
      </c>
      <c r="FH116" s="10">
        <f t="shared" si="150"/>
        <v>10740204.251417883</v>
      </c>
      <c r="FI116" s="10">
        <f t="shared" si="150"/>
        <v>10861507.63960672</v>
      </c>
      <c r="FJ116" s="10">
        <f t="shared" si="150"/>
        <v>10983965.269462997</v>
      </c>
      <c r="FK116" s="10">
        <f t="shared" si="150"/>
        <v>11107585.112383919</v>
      </c>
      <c r="FL116" s="10">
        <f t="shared" si="150"/>
        <v>11232375.197617764</v>
      </c>
      <c r="FM116" s="10">
        <f t="shared" si="150"/>
        <v>11358343.612705432</v>
      </c>
      <c r="FN116" s="10">
        <f t="shared" si="150"/>
        <v>11485498.503925474</v>
      </c>
      <c r="FO116" s="10">
        <f t="shared" si="150"/>
        <v>11613848.076742709</v>
      </c>
      <c r="FP116" s="10">
        <f t="shared" si="150"/>
        <v>11743400.596260404</v>
      </c>
      <c r="FQ116" s="10">
        <f t="shared" si="150"/>
        <v>11874164.387676103</v>
      </c>
      <c r="FR116" s="10">
        <f t="shared" si="150"/>
        <v>12006147.836741079</v>
      </c>
      <c r="FS116" s="10">
        <f t="shared" si="150"/>
        <v>12139359.390223471</v>
      </c>
      <c r="FT116" s="10">
        <f t="shared" si="150"/>
        <v>12273807.556375137</v>
      </c>
      <c r="FU116" s="10">
        <f t="shared" si="150"/>
        <v>12409500.905402232</v>
      </c>
      <c r="FV116" s="10">
        <f t="shared" si="150"/>
        <v>12546448.069939595</v>
      </c>
      <c r="FW116" s="10">
        <f t="shared" si="150"/>
        <v>12684657.745528873</v>
      </c>
      <c r="FX116" s="10">
        <f t="shared" si="150"/>
        <v>12824138.691100549</v>
      </c>
      <c r="FY116" s="10">
        <f t="shared" si="150"/>
        <v>12964899.729459783</v>
      </c>
      <c r="FZ116" s="10">
        <f t="shared" si="150"/>
        <v>13106949.747776186</v>
      </c>
      <c r="GA116" s="10">
        <f t="shared" si="150"/>
        <v>13250297.698077509</v>
      </c>
      <c r="GB116" s="10">
        <f t="shared" si="150"/>
        <v>13394952.597747289</v>
      </c>
      <c r="GC116" s="10">
        <f t="shared" si="150"/>
        <v>13540923.530026518</v>
      </c>
      <c r="GD116" s="10">
        <f t="shared" si="150"/>
        <v>13688219.644519305</v>
      </c>
      <c r="GE116" s="10">
        <f t="shared" si="150"/>
        <v>13836850.157702647</v>
      </c>
      <c r="GF116" s="10">
        <f t="shared" si="150"/>
        <v>13986824.353440246</v>
      </c>
      <c r="GG116" s="10">
        <f t="shared" si="150"/>
        <v>14138151.583500497</v>
      </c>
      <c r="GH116" s="10">
        <f t="shared" si="150"/>
        <v>14290841.268078635</v>
      </c>
      <c r="GI116" s="10">
        <f t="shared" si="150"/>
        <v>14444902.896323068</v>
      </c>
      <c r="GJ116" s="10">
        <f t="shared" si="150"/>
        <v>14600346.026865957</v>
      </c>
      <c r="GK116" s="10">
        <f t="shared" si="150"/>
        <v>14757180.288358077</v>
      </c>
      <c r="GL116" s="10">
        <f t="shared" si="150"/>
        <v>14915415.380007952</v>
      </c>
      <c r="GM116" s="10">
        <f t="shared" ref="GM116:IX116" si="151">IF(GM95&lt;=$B$92, GM100+GM114, 0)</f>
        <v>15075061.072125394</v>
      </c>
      <c r="GN116" s="10">
        <f t="shared" si="151"/>
        <v>15236127.206669334</v>
      </c>
      <c r="GO116" s="10">
        <f t="shared" si="151"/>
        <v>15398623.697800165</v>
      </c>
      <c r="GP116" s="10">
        <f t="shared" si="151"/>
        <v>15562560.532436464</v>
      </c>
      <c r="GQ116" s="10">
        <f t="shared" si="151"/>
        <v>15727947.77081624</v>
      </c>
      <c r="GR116" s="10">
        <f t="shared" si="151"/>
        <v>15894795.547062708</v>
      </c>
      <c r="GS116" s="10">
        <f t="shared" si="151"/>
        <v>16063114.069754621</v>
      </c>
      <c r="GT116" s="10">
        <f t="shared" si="151"/>
        <v>16232913.622501202</v>
      </c>
      <c r="GU116" s="10">
        <f t="shared" si="151"/>
        <v>16404204.564521745</v>
      </c>
      <c r="GV116" s="10">
        <f t="shared" si="151"/>
        <v>16576997.331229847</v>
      </c>
      <c r="GW116" s="10">
        <f t="shared" si="151"/>
        <v>16751302.434822422</v>
      </c>
      <c r="GX116" s="10">
        <f t="shared" si="151"/>
        <v>16927130.464873433</v>
      </c>
      <c r="GY116" s="10">
        <f t="shared" si="151"/>
        <v>17104492.088932432</v>
      </c>
      <c r="GZ116" s="10">
        <f t="shared" si="151"/>
        <v>17283398.053127967</v>
      </c>
      <c r="HA116" s="10">
        <f t="shared" si="151"/>
        <v>17463859.18277581</v>
      </c>
      <c r="HB116" s="10">
        <f t="shared" si="151"/>
        <v>17645886.382992197</v>
      </c>
      <c r="HC116" s="10">
        <f t="shared" si="151"/>
        <v>17829490.639311943</v>
      </c>
      <c r="HD116" s="10">
        <f t="shared" si="151"/>
        <v>18014683.018311612</v>
      </c>
      <c r="HE116" s="10">
        <f t="shared" si="151"/>
        <v>18201474.668237709</v>
      </c>
      <c r="HF116" s="10">
        <f t="shared" si="151"/>
        <v>18389876.819640011</v>
      </c>
      <c r="HG116" s="10">
        <f t="shared" si="151"/>
        <v>18579900.786009967</v>
      </c>
      <c r="HH116" s="10">
        <f t="shared" si="151"/>
        <v>18771557.96442429</v>
      </c>
      <c r="HI116" s="10">
        <f t="shared" si="151"/>
        <v>18964859.836193804</v>
      </c>
      <c r="HJ116" s="10">
        <f t="shared" si="151"/>
        <v>19159817.967517518</v>
      </c>
      <c r="HK116" s="10">
        <f t="shared" si="151"/>
        <v>19356017.919818267</v>
      </c>
      <c r="HL116" s="10">
        <f t="shared" si="151"/>
        <v>19553289.455174096</v>
      </c>
      <c r="HM116" s="10">
        <f t="shared" si="151"/>
        <v>19751638.824486181</v>
      </c>
      <c r="HN116" s="10">
        <f t="shared" si="151"/>
        <v>19951072.315119244</v>
      </c>
      <c r="HO116" s="10">
        <f t="shared" si="151"/>
        <v>20151596.251114335</v>
      </c>
      <c r="HP116" s="10">
        <f t="shared" si="151"/>
        <v>20353216.993402734</v>
      </c>
      <c r="HQ116" s="10">
        <f t="shared" si="151"/>
        <v>20555940.940021146</v>
      </c>
      <c r="HR116" s="10">
        <f t="shared" si="151"/>
        <v>20759774.526328161</v>
      </c>
      <c r="HS116" s="10">
        <f t="shared" si="151"/>
        <v>20964724.225221977</v>
      </c>
      <c r="HT116" s="10">
        <f t="shared" si="151"/>
        <v>21170796.547359332</v>
      </c>
      <c r="HU116" s="10">
        <f t="shared" si="151"/>
        <v>21377998.041375834</v>
      </c>
      <c r="HV116" s="10">
        <f t="shared" si="151"/>
        <v>21586335.294107415</v>
      </c>
      <c r="HW116" s="10">
        <f t="shared" si="151"/>
        <v>21795814.930813283</v>
      </c>
      <c r="HX116" s="10">
        <f t="shared" si="151"/>
        <v>22006443.615399927</v>
      </c>
      <c r="HY116" s="10">
        <f t="shared" si="151"/>
        <v>22218228.050646655</v>
      </c>
      <c r="HZ116" s="10">
        <f t="shared" si="151"/>
        <v>22431174.97843232</v>
      </c>
      <c r="IA116" s="10">
        <f t="shared" si="151"/>
        <v>22645291.179963402</v>
      </c>
      <c r="IB116" s="10">
        <f t="shared" si="151"/>
        <v>22860583.476003416</v>
      </c>
      <c r="IC116" s="10">
        <f t="shared" si="151"/>
        <v>23077058.727103673</v>
      </c>
      <c r="ID116" s="10">
        <f t="shared" si="151"/>
        <v>23294723.833835334</v>
      </c>
      <c r="IE116" s="10">
        <f t="shared" si="151"/>
        <v>23513585.737022944</v>
      </c>
      <c r="IF116" s="10">
        <f t="shared" si="151"/>
        <v>23733651.417979136</v>
      </c>
      <c r="IG116" s="10">
        <f t="shared" si="151"/>
        <v>23954927.89874091</v>
      </c>
      <c r="IH116" s="10">
        <f t="shared" si="151"/>
        <v>24177422.242307134</v>
      </c>
      <c r="II116" s="10">
        <f t="shared" si="151"/>
        <v>24388641.552877486</v>
      </c>
      <c r="IJ116" s="10">
        <f t="shared" si="151"/>
        <v>24601092.97609283</v>
      </c>
      <c r="IK116" s="10">
        <f t="shared" si="151"/>
        <v>24814783.699276932</v>
      </c>
      <c r="IL116" s="10">
        <f t="shared" si="151"/>
        <v>25029720.95167961</v>
      </c>
      <c r="IM116" s="10">
        <f t="shared" si="151"/>
        <v>25245912.004721303</v>
      </c>
      <c r="IN116" s="10">
        <f t="shared" si="151"/>
        <v>25463364.172239076</v>
      </c>
      <c r="IO116" s="10">
        <f t="shared" si="151"/>
        <v>25682084.810734034</v>
      </c>
      <c r="IP116" s="10">
        <f t="shared" si="151"/>
        <v>25902081.319620214</v>
      </c>
      <c r="IQ116" s="10">
        <f t="shared" si="151"/>
        <v>26123361.141474895</v>
      </c>
      <c r="IR116" s="10">
        <f t="shared" si="151"/>
        <v>26345931.762290396</v>
      </c>
      <c r="IS116" s="10">
        <f t="shared" si="151"/>
        <v>26569800.711727321</v>
      </c>
      <c r="IT116" s="10">
        <f t="shared" si="151"/>
        <v>26794975.563369293</v>
      </c>
      <c r="IU116" s="10">
        <f t="shared" si="151"/>
        <v>27021463.934979174</v>
      </c>
      <c r="IV116" s="10">
        <f t="shared" si="151"/>
        <v>27249273.488756783</v>
      </c>
      <c r="IW116" s="10">
        <f t="shared" si="151"/>
        <v>27478411.931598097</v>
      </c>
      <c r="IX116" s="10">
        <f t="shared" si="151"/>
        <v>27708887.015355982</v>
      </c>
      <c r="IY116" s="10">
        <f t="shared" ref="IY116:LJ116" si="152">IF(IY95&lt;=$B$92, IY100+IY114, 0)</f>
        <v>27940706.53710245</v>
      </c>
      <c r="IZ116" s="10">
        <f t="shared" si="152"/>
        <v>28173878.339392446</v>
      </c>
      <c r="JA116" s="10">
        <f t="shared" si="152"/>
        <v>28408410.310529135</v>
      </c>
      <c r="JB116" s="10">
        <f t="shared" si="152"/>
        <v>28644310.38483078</v>
      </c>
      <c r="JC116" s="10">
        <f t="shared" si="152"/>
        <v>28881586.542899191</v>
      </c>
      <c r="JD116" s="10">
        <f t="shared" si="152"/>
        <v>29120246.811889671</v>
      </c>
      <c r="JE116" s="10">
        <f t="shared" si="152"/>
        <v>29360299.265782587</v>
      </c>
      <c r="JF116" s="10">
        <f t="shared" si="152"/>
        <v>29601752.025656547</v>
      </c>
      <c r="JG116" s="10">
        <f t="shared" si="152"/>
        <v>29844613.259963106</v>
      </c>
      <c r="JH116" s="10">
        <f t="shared" si="152"/>
        <v>30088891.184803117</v>
      </c>
      <c r="JI116" s="10">
        <f t="shared" si="152"/>
        <v>30334594.064204697</v>
      </c>
      <c r="JJ116" s="10">
        <f t="shared" si="152"/>
        <v>30581730.210402787</v>
      </c>
      <c r="JK116" s="10">
        <f t="shared" si="152"/>
        <v>30830307.984120362</v>
      </c>
      <c r="JL116" s="10">
        <f t="shared" si="152"/>
        <v>31080335.794851296</v>
      </c>
      <c r="JM116" s="10">
        <f t="shared" si="152"/>
        <v>31331822.101144824</v>
      </c>
      <c r="JN116" s="10">
        <f t="shared" si="152"/>
        <v>31584775.41089173</v>
      </c>
      <c r="JO116" s="10">
        <f t="shared" si="152"/>
        <v>31839204.281612162</v>
      </c>
      <c r="JP116" s="10">
        <f t="shared" si="152"/>
        <v>32095117.320745133</v>
      </c>
      <c r="JQ116" s="10">
        <f t="shared" si="152"/>
        <v>32352523.185939711</v>
      </c>
      <c r="JR116" s="10">
        <f t="shared" si="152"/>
        <v>32611430.585347924</v>
      </c>
      <c r="JS116" s="10">
        <f t="shared" si="152"/>
        <v>32871848.277919352</v>
      </c>
      <c r="JT116" s="10">
        <f t="shared" si="152"/>
        <v>33133785.073697448</v>
      </c>
      <c r="JU116" s="10">
        <f t="shared" si="152"/>
        <v>33397249.83411758</v>
      </c>
      <c r="JV116" s="10">
        <f t="shared" si="152"/>
        <v>33662251.472306833</v>
      </c>
      <c r="JW116" s="10">
        <f t="shared" si="152"/>
        <v>33928798.953385517</v>
      </c>
      <c r="JX116" s="10">
        <f t="shared" si="152"/>
        <v>34196901.294770494</v>
      </c>
      <c r="JY116" s="10">
        <f t="shared" si="152"/>
        <v>34466567.566480219</v>
      </c>
      <c r="JZ116" s="10">
        <f t="shared" si="152"/>
        <v>34737806.891441584</v>
      </c>
      <c r="KA116" s="10">
        <f t="shared" si="152"/>
        <v>35010628.445798546</v>
      </c>
      <c r="KB116" s="10">
        <f t="shared" si="152"/>
        <v>35285041.4592226</v>
      </c>
      <c r="KC116" s="10">
        <f t="shared" si="152"/>
        <v>35561055.215224966</v>
      </c>
      <c r="KD116" s="10">
        <f t="shared" si="152"/>
        <v>35838679.051470675</v>
      </c>
      <c r="KE116" s="10">
        <f t="shared" si="152"/>
        <v>36117922.360094488</v>
      </c>
      <c r="KF116" s="10">
        <f t="shared" si="152"/>
        <v>36398794.588018596</v>
      </c>
      <c r="KG116" s="10">
        <f t="shared" si="152"/>
        <v>36681305.237272263</v>
      </c>
      <c r="KH116" s="10">
        <f t="shared" si="152"/>
        <v>36965463.865313254</v>
      </c>
      <c r="KI116" s="10">
        <f t="shared" si="152"/>
        <v>37251280.085351139</v>
      </c>
      <c r="KJ116" s="10">
        <f t="shared" si="152"/>
        <v>37538763.566672593</v>
      </c>
      <c r="KK116" s="10">
        <f t="shared" si="152"/>
        <v>37827924.034968413</v>
      </c>
      <c r="KL116" s="10">
        <f t="shared" si="152"/>
        <v>38118771.272662625</v>
      </c>
      <c r="KM116" s="10">
        <f t="shared" si="152"/>
        <v>38411315.119243391</v>
      </c>
      <c r="KN116" s="10">
        <f t="shared" si="152"/>
        <v>38705565.471595868</v>
      </c>
      <c r="KO116" s="10">
        <f t="shared" si="152"/>
        <v>39001532.284337074</v>
      </c>
      <c r="KP116" s="10">
        <f t="shared" si="152"/>
        <v>39299225.570152611</v>
      </c>
      <c r="KQ116" s="10">
        <f t="shared" si="152"/>
        <v>39598655.400135398</v>
      </c>
      <c r="KR116" s="10">
        <f t="shared" si="152"/>
        <v>39899831.904126421</v>
      </c>
      <c r="KS116" s="10">
        <f t="shared" si="152"/>
        <v>40202765.271057382</v>
      </c>
      <c r="KT116" s="10">
        <f t="shared" si="152"/>
        <v>40507465.749295443</v>
      </c>
      <c r="KU116" s="10">
        <f t="shared" si="152"/>
        <v>40813943.646989904</v>
      </c>
      <c r="KV116" s="10">
        <f t="shared" si="152"/>
        <v>41122209.332420908</v>
      </c>
      <c r="KW116" s="10">
        <f t="shared" si="152"/>
        <v>41432273.234350257</v>
      </c>
      <c r="KX116" s="10">
        <f t="shared" si="152"/>
        <v>41744145.842374198</v>
      </c>
      <c r="KY116" s="10">
        <f t="shared" si="152"/>
        <v>42057837.707278281</v>
      </c>
      <c r="KZ116" s="10">
        <f t="shared" si="152"/>
        <v>42373359.441394307</v>
      </c>
      <c r="LA116" s="10">
        <f t="shared" si="152"/>
        <v>42690721.718959332</v>
      </c>
      <c r="LB116" s="10">
        <f t="shared" si="152"/>
        <v>43009935.27647683</v>
      </c>
      <c r="LC116" s="10">
        <f t="shared" si="152"/>
        <v>43331010.913079843</v>
      </c>
      <c r="LD116" s="10">
        <f t="shared" si="152"/>
        <v>43653959.490896374</v>
      </c>
      <c r="LE116" s="10">
        <f t="shared" si="152"/>
        <v>43978791.935416825</v>
      </c>
      <c r="LF116" s="10">
        <f t="shared" si="152"/>
        <v>44305519.235863656</v>
      </c>
      <c r="LG116" s="10">
        <f t="shared" si="152"/>
        <v>44634152.445563093</v>
      </c>
      <c r="LH116" s="10">
        <f t="shared" si="152"/>
        <v>44964702.682319112</v>
      </c>
      <c r="LI116" s="10">
        <f t="shared" si="152"/>
        <v>45297181.128789544</v>
      </c>
      <c r="LJ116" s="10">
        <f t="shared" si="152"/>
        <v>45631599.032864377</v>
      </c>
      <c r="LK116" s="10">
        <f t="shared" ref="LK116:NV116" si="153">IF(LK95&lt;=$B$92, LK100+LK114, 0)</f>
        <v>45967967.708046317</v>
      </c>
      <c r="LL116" s="10">
        <f t="shared" si="153"/>
        <v>46306298.533833489</v>
      </c>
      <c r="LM116" s="10">
        <f t="shared" si="153"/>
        <v>46646602.956104413</v>
      </c>
      <c r="LN116" s="10">
        <f t="shared" si="153"/>
        <v>46988892.487505257</v>
      </c>
      <c r="LO116" s="10">
        <f t="shared" si="153"/>
        <v>47333178.707839265</v>
      </c>
      <c r="LP116" s="10">
        <f t="shared" si="153"/>
        <v>47679473.264458552</v>
      </c>
      <c r="LQ116" s="10">
        <f t="shared" si="153"/>
        <v>48027787.872658119</v>
      </c>
      <c r="LR116" s="10">
        <f t="shared" si="153"/>
        <v>48378134.316072181</v>
      </c>
      <c r="LS116" s="10">
        <f t="shared" si="153"/>
        <v>48730524.447072826</v>
      </c>
      <c r="LT116" s="10">
        <f t="shared" si="153"/>
        <v>49084970.187170982</v>
      </c>
      <c r="LU116" s="10">
        <f t="shared" si="153"/>
        <v>49441483.527419709</v>
      </c>
      <c r="LV116" s="10">
        <f t="shared" si="153"/>
        <v>49800076.528819889</v>
      </c>
      <c r="LW116" s="10">
        <f t="shared" si="153"/>
        <v>50160761.322728239</v>
      </c>
      <c r="LX116" s="10">
        <f t="shared" si="153"/>
        <v>50523550.111267716</v>
      </c>
      <c r="LY116" s="10">
        <f t="shared" si="153"/>
        <v>50888455.167740338</v>
      </c>
      <c r="LZ116" s="10">
        <f t="shared" si="153"/>
        <v>51255488.837042391</v>
      </c>
      <c r="MA116" s="10">
        <f t="shared" si="153"/>
        <v>51624663.536082037</v>
      </c>
      <c r="MB116" s="10">
        <f t="shared" si="153"/>
        <v>51995991.754199415</v>
      </c>
      <c r="MC116" s="10">
        <f t="shared" si="153"/>
        <v>52369486.053589135</v>
      </c>
      <c r="MD116" s="10">
        <f t="shared" si="153"/>
        <v>52745159.069725305</v>
      </c>
      <c r="ME116" s="10">
        <f t="shared" si="153"/>
        <v>53123023.511788934</v>
      </c>
      <c r="MF116" s="10">
        <f t="shared" si="153"/>
        <v>53503092.163097933</v>
      </c>
      <c r="MG116" s="10">
        <f t="shared" si="153"/>
        <v>53885377.881539568</v>
      </c>
      <c r="MH116" s="10">
        <f t="shared" si="153"/>
        <v>54269893.600005448</v>
      </c>
      <c r="MI116" s="10">
        <f t="shared" si="153"/>
        <v>54656652.326829046</v>
      </c>
      <c r="MJ116" s="10">
        <f t="shared" si="153"/>
        <v>55045667.14622578</v>
      </c>
      <c r="MK116" s="10">
        <f t="shared" si="153"/>
        <v>55436951.218735665</v>
      </c>
      <c r="ML116" s="10">
        <f t="shared" si="153"/>
        <v>55830517.781668521</v>
      </c>
      <c r="MM116" s="10">
        <f t="shared" si="153"/>
        <v>56226380.149551816</v>
      </c>
      <c r="MN116" s="10">
        <f t="shared" si="153"/>
        <v>56624551.714581102</v>
      </c>
      <c r="MO116" s="10">
        <f t="shared" si="153"/>
        <v>57025045.947073057</v>
      </c>
      <c r="MP116" s="10">
        <f t="shared" si="153"/>
        <v>57427876.395921215</v>
      </c>
      <c r="MQ116" s="10">
        <f t="shared" si="153"/>
        <v>57833056.689054325</v>
      </c>
      <c r="MR116" s="10">
        <f t="shared" si="153"/>
        <v>58240600.53389737</v>
      </c>
      <c r="MS116" s="10">
        <f t="shared" si="153"/>
        <v>58650521.717835337</v>
      </c>
      <c r="MT116" s="10">
        <f t="shared" si="153"/>
        <v>59062834.108679593</v>
      </c>
      <c r="MU116" s="10">
        <f t="shared" si="153"/>
        <v>59477551.655137122</v>
      </c>
      <c r="MV116" s="10">
        <f t="shared" si="153"/>
        <v>59894688.387282319</v>
      </c>
      <c r="MW116" s="10">
        <f t="shared" si="153"/>
        <v>60314258.41703169</v>
      </c>
      <c r="MX116" s="10">
        <f t="shared" si="153"/>
        <v>60736275.938621275</v>
      </c>
      <c r="MY116" s="10">
        <f t="shared" si="153"/>
        <v>0</v>
      </c>
      <c r="MZ116" s="10">
        <f t="shared" si="153"/>
        <v>0</v>
      </c>
      <c r="NA116" s="10">
        <f t="shared" si="153"/>
        <v>0</v>
      </c>
      <c r="NB116" s="10">
        <f t="shared" si="153"/>
        <v>0</v>
      </c>
      <c r="NC116" s="10">
        <f t="shared" si="153"/>
        <v>0</v>
      </c>
      <c r="ND116" s="10">
        <f t="shared" si="153"/>
        <v>0</v>
      </c>
      <c r="NE116" s="10">
        <f t="shared" si="153"/>
        <v>0</v>
      </c>
      <c r="NF116" s="10">
        <f t="shared" si="153"/>
        <v>0</v>
      </c>
      <c r="NG116" s="10">
        <f t="shared" si="153"/>
        <v>0</v>
      </c>
      <c r="NH116" s="10">
        <f t="shared" si="153"/>
        <v>0</v>
      </c>
      <c r="NI116" s="10">
        <f t="shared" si="153"/>
        <v>0</v>
      </c>
      <c r="NJ116" s="10">
        <f t="shared" si="153"/>
        <v>0</v>
      </c>
      <c r="NK116" s="10">
        <f t="shared" si="153"/>
        <v>0</v>
      </c>
      <c r="NL116" s="10">
        <f t="shared" si="153"/>
        <v>0</v>
      </c>
      <c r="NM116" s="10">
        <f t="shared" si="153"/>
        <v>0</v>
      </c>
      <c r="NN116" s="10">
        <f t="shared" si="153"/>
        <v>0</v>
      </c>
      <c r="NO116" s="10">
        <f t="shared" si="153"/>
        <v>0</v>
      </c>
      <c r="NP116" s="10">
        <f t="shared" si="153"/>
        <v>0</v>
      </c>
      <c r="NQ116" s="10">
        <f t="shared" si="153"/>
        <v>0</v>
      </c>
      <c r="NR116" s="10">
        <f t="shared" si="153"/>
        <v>0</v>
      </c>
      <c r="NS116" s="10">
        <f t="shared" si="153"/>
        <v>0</v>
      </c>
      <c r="NT116" s="10">
        <f t="shared" si="153"/>
        <v>0</v>
      </c>
      <c r="NU116" s="10">
        <f t="shared" si="153"/>
        <v>0</v>
      </c>
      <c r="NV116" s="10">
        <f t="shared" si="153"/>
        <v>0</v>
      </c>
      <c r="NW116" s="10">
        <f t="shared" ref="NW116:PF116" si="154">IF(NW95&lt;=$B$92, NW100+NW114, 0)</f>
        <v>0</v>
      </c>
      <c r="NX116" s="10">
        <f t="shared" si="154"/>
        <v>0</v>
      </c>
      <c r="NY116" s="10">
        <f t="shared" si="154"/>
        <v>0</v>
      </c>
      <c r="NZ116" s="10">
        <f t="shared" si="154"/>
        <v>0</v>
      </c>
      <c r="OA116" s="10">
        <f t="shared" si="154"/>
        <v>0</v>
      </c>
      <c r="OB116" s="10">
        <f t="shared" si="154"/>
        <v>0</v>
      </c>
      <c r="OC116" s="10">
        <f t="shared" si="154"/>
        <v>0</v>
      </c>
      <c r="OD116" s="10">
        <f t="shared" si="154"/>
        <v>0</v>
      </c>
      <c r="OE116" s="10">
        <f t="shared" si="154"/>
        <v>0</v>
      </c>
      <c r="OF116" s="10">
        <f t="shared" si="154"/>
        <v>0</v>
      </c>
      <c r="OG116" s="10">
        <f t="shared" si="154"/>
        <v>0</v>
      </c>
      <c r="OH116" s="10">
        <f t="shared" si="154"/>
        <v>0</v>
      </c>
      <c r="OI116" s="10">
        <f t="shared" si="154"/>
        <v>0</v>
      </c>
      <c r="OJ116" s="10">
        <f t="shared" si="154"/>
        <v>0</v>
      </c>
      <c r="OK116" s="10">
        <f t="shared" si="154"/>
        <v>0</v>
      </c>
      <c r="OL116" s="10">
        <f t="shared" si="154"/>
        <v>0</v>
      </c>
      <c r="OM116" s="10">
        <f t="shared" si="154"/>
        <v>0</v>
      </c>
      <c r="ON116" s="10">
        <f t="shared" si="154"/>
        <v>0</v>
      </c>
      <c r="OO116" s="10">
        <f t="shared" si="154"/>
        <v>0</v>
      </c>
      <c r="OP116" s="10">
        <f t="shared" si="154"/>
        <v>0</v>
      </c>
      <c r="OQ116" s="10">
        <f t="shared" si="154"/>
        <v>0</v>
      </c>
      <c r="OR116" s="10">
        <f t="shared" si="154"/>
        <v>0</v>
      </c>
      <c r="OS116" s="10">
        <f t="shared" si="154"/>
        <v>0</v>
      </c>
      <c r="OT116" s="10">
        <f t="shared" si="154"/>
        <v>0</v>
      </c>
      <c r="OU116" s="10">
        <f t="shared" si="154"/>
        <v>0</v>
      </c>
      <c r="OV116" s="10">
        <f t="shared" si="154"/>
        <v>0</v>
      </c>
      <c r="OW116" s="10">
        <f t="shared" si="154"/>
        <v>0</v>
      </c>
      <c r="OX116" s="10">
        <f t="shared" si="154"/>
        <v>0</v>
      </c>
      <c r="OY116" s="10">
        <f t="shared" si="154"/>
        <v>0</v>
      </c>
      <c r="OZ116" s="10">
        <f t="shared" si="154"/>
        <v>0</v>
      </c>
      <c r="PA116" s="10">
        <f t="shared" si="154"/>
        <v>0</v>
      </c>
      <c r="PB116" s="10">
        <f t="shared" si="154"/>
        <v>0</v>
      </c>
      <c r="PC116" s="10">
        <f t="shared" si="154"/>
        <v>0</v>
      </c>
      <c r="PD116" s="10">
        <f t="shared" si="154"/>
        <v>0</v>
      </c>
      <c r="PE116" s="10">
        <f t="shared" si="154"/>
        <v>0</v>
      </c>
      <c r="PF116" s="10">
        <f t="shared" si="154"/>
        <v>0</v>
      </c>
    </row>
    <row r="117" spans="1:422" hidden="1">
      <c r="A117" s="6"/>
      <c r="C117" s="18"/>
    </row>
    <row r="118" spans="1:422" hidden="1">
      <c r="A118" s="11" t="s">
        <v>49</v>
      </c>
      <c r="C118" s="18"/>
    </row>
    <row r="119" spans="1:422" hidden="1">
      <c r="A119" s="6" t="s">
        <v>66</v>
      </c>
      <c r="B119" s="5">
        <f>B35</f>
        <v>60000</v>
      </c>
      <c r="C119" s="18"/>
    </row>
    <row r="120" spans="1:422" hidden="1">
      <c r="A120" s="6"/>
      <c r="C120" s="18"/>
    </row>
    <row r="121" spans="1:422" hidden="1">
      <c r="A121" s="6" t="s">
        <v>50</v>
      </c>
      <c r="B121" s="5">
        <f>B33</f>
        <v>20000</v>
      </c>
      <c r="C121" s="18">
        <f t="shared" ref="C121:BN121" si="155">IF(C95&lt;=$B$92, B121*(1+$B$34/12), 0)</f>
        <v>20133.333333333332</v>
      </c>
      <c r="D121" s="5">
        <f t="shared" si="155"/>
        <v>20267.555555555555</v>
      </c>
      <c r="E121" s="5">
        <f t="shared" si="155"/>
        <v>20402.672592592589</v>
      </c>
      <c r="F121" s="5">
        <f t="shared" si="155"/>
        <v>20538.690409876537</v>
      </c>
      <c r="G121" s="5">
        <f t="shared" si="155"/>
        <v>20675.615012609047</v>
      </c>
      <c r="H121" s="5">
        <f t="shared" si="155"/>
        <v>20813.45244602644</v>
      </c>
      <c r="I121" s="5">
        <f t="shared" si="155"/>
        <v>20952.208795666615</v>
      </c>
      <c r="J121" s="5">
        <f t="shared" si="155"/>
        <v>21091.890187637724</v>
      </c>
      <c r="K121" s="5">
        <f t="shared" si="155"/>
        <v>21232.50278888864</v>
      </c>
      <c r="L121" s="5">
        <f t="shared" si="155"/>
        <v>21374.052807481228</v>
      </c>
      <c r="M121" s="5">
        <f t="shared" si="155"/>
        <v>21516.546492864436</v>
      </c>
      <c r="N121" s="5">
        <f t="shared" si="155"/>
        <v>21659.990136150198</v>
      </c>
      <c r="O121" s="5">
        <f t="shared" si="155"/>
        <v>21804.390070391197</v>
      </c>
      <c r="P121" s="5">
        <f t="shared" si="155"/>
        <v>21949.752670860471</v>
      </c>
      <c r="Q121" s="5">
        <f t="shared" si="155"/>
        <v>22096.084355332874</v>
      </c>
      <c r="R121" s="5">
        <f t="shared" si="155"/>
        <v>22243.391584368426</v>
      </c>
      <c r="S121" s="5">
        <f t="shared" si="155"/>
        <v>22391.680861597546</v>
      </c>
      <c r="T121" s="5">
        <f t="shared" si="155"/>
        <v>22540.958734008196</v>
      </c>
      <c r="U121" s="5">
        <f t="shared" si="155"/>
        <v>22691.231792234918</v>
      </c>
      <c r="V121" s="5">
        <f t="shared" si="155"/>
        <v>22842.506670849816</v>
      </c>
      <c r="W121" s="5">
        <f t="shared" si="155"/>
        <v>22994.790048655479</v>
      </c>
      <c r="X121" s="5">
        <f t="shared" si="155"/>
        <v>23148.088648979847</v>
      </c>
      <c r="Y121" s="5">
        <f t="shared" si="155"/>
        <v>23302.409239973043</v>
      </c>
      <c r="Z121" s="5">
        <f t="shared" si="155"/>
        <v>23457.758634906197</v>
      </c>
      <c r="AA121" s="5">
        <f t="shared" si="155"/>
        <v>23614.143692472237</v>
      </c>
      <c r="AB121" s="5">
        <f t="shared" si="155"/>
        <v>23771.571317088717</v>
      </c>
      <c r="AC121" s="5">
        <f t="shared" si="155"/>
        <v>23930.048459202641</v>
      </c>
      <c r="AD121" s="5">
        <f t="shared" si="155"/>
        <v>24089.582115597324</v>
      </c>
      <c r="AE121" s="5">
        <f t="shared" si="155"/>
        <v>24250.179329701306</v>
      </c>
      <c r="AF121" s="5">
        <f t="shared" si="155"/>
        <v>24411.847191899313</v>
      </c>
      <c r="AG121" s="5">
        <f t="shared" si="155"/>
        <v>24574.592839845307</v>
      </c>
      <c r="AH121" s="5">
        <f t="shared" si="155"/>
        <v>24738.423458777608</v>
      </c>
      <c r="AI121" s="5">
        <f t="shared" si="155"/>
        <v>24903.346281836122</v>
      </c>
      <c r="AJ121" s="5">
        <f t="shared" si="155"/>
        <v>25069.368590381695</v>
      </c>
      <c r="AK121" s="5">
        <f t="shared" si="155"/>
        <v>25236.497714317571</v>
      </c>
      <c r="AL121" s="5">
        <f t="shared" si="155"/>
        <v>25404.741032413021</v>
      </c>
      <c r="AM121" s="5">
        <f t="shared" si="155"/>
        <v>25574.105972629106</v>
      </c>
      <c r="AN121" s="5">
        <f t="shared" si="155"/>
        <v>25744.60001244663</v>
      </c>
      <c r="AO121" s="5">
        <f t="shared" si="155"/>
        <v>25916.230679196273</v>
      </c>
      <c r="AP121" s="5">
        <f t="shared" si="155"/>
        <v>26089.005550390913</v>
      </c>
      <c r="AQ121" s="5">
        <f t="shared" si="155"/>
        <v>26262.932254060186</v>
      </c>
      <c r="AR121" s="5">
        <f t="shared" si="155"/>
        <v>26438.018469087252</v>
      </c>
      <c r="AS121" s="5">
        <f t="shared" si="155"/>
        <v>26614.271925547833</v>
      </c>
      <c r="AT121" s="5">
        <f t="shared" si="155"/>
        <v>26791.700405051484</v>
      </c>
      <c r="AU121" s="5">
        <f t="shared" si="155"/>
        <v>26970.311741085159</v>
      </c>
      <c r="AV121" s="5">
        <f t="shared" si="155"/>
        <v>27150.11381935906</v>
      </c>
      <c r="AW121" s="5">
        <f t="shared" si="155"/>
        <v>27331.114578154786</v>
      </c>
      <c r="AX121" s="5">
        <f t="shared" si="155"/>
        <v>27513.322008675816</v>
      </c>
      <c r="AY121" s="5">
        <f t="shared" si="155"/>
        <v>27696.74415540032</v>
      </c>
      <c r="AZ121" s="5">
        <f t="shared" si="155"/>
        <v>27881.389116436319</v>
      </c>
      <c r="BA121" s="5">
        <f t="shared" si="155"/>
        <v>28067.265043879226</v>
      </c>
      <c r="BB121" s="5">
        <f t="shared" si="155"/>
        <v>28254.380144171751</v>
      </c>
      <c r="BC121" s="5">
        <f t="shared" si="155"/>
        <v>28442.742678466228</v>
      </c>
      <c r="BD121" s="5">
        <f t="shared" si="155"/>
        <v>28632.360962989333</v>
      </c>
      <c r="BE121" s="5">
        <f t="shared" si="155"/>
        <v>28823.243369409258</v>
      </c>
      <c r="BF121" s="5">
        <f t="shared" si="155"/>
        <v>29015.398325205319</v>
      </c>
      <c r="BG121" s="5">
        <f t="shared" si="155"/>
        <v>29208.834314040017</v>
      </c>
      <c r="BH121" s="5">
        <f t="shared" si="155"/>
        <v>29403.559876133615</v>
      </c>
      <c r="BI121" s="5">
        <f t="shared" si="155"/>
        <v>29599.583608641169</v>
      </c>
      <c r="BJ121" s="5">
        <f t="shared" si="155"/>
        <v>29796.914166032107</v>
      </c>
      <c r="BK121" s="5">
        <f t="shared" si="155"/>
        <v>29995.560260472321</v>
      </c>
      <c r="BL121" s="5">
        <f t="shared" si="155"/>
        <v>30195.530662208799</v>
      </c>
      <c r="BM121" s="5">
        <f t="shared" si="155"/>
        <v>30396.834199956855</v>
      </c>
      <c r="BN121" s="5">
        <f t="shared" si="155"/>
        <v>30599.479761289898</v>
      </c>
      <c r="BO121" s="5">
        <f t="shared" ref="BO121:DZ121" si="156">IF(BO95&lt;=$B$92, BN121*(1+$B$34/12), 0)</f>
        <v>30803.476293031828</v>
      </c>
      <c r="BP121" s="5">
        <f t="shared" si="156"/>
        <v>31008.832801652039</v>
      </c>
      <c r="BQ121" s="5">
        <f t="shared" si="156"/>
        <v>31215.558353663051</v>
      </c>
      <c r="BR121" s="5">
        <f t="shared" si="156"/>
        <v>31423.662076020802</v>
      </c>
      <c r="BS121" s="5">
        <f t="shared" si="156"/>
        <v>31633.153156527605</v>
      </c>
      <c r="BT121" s="5">
        <f t="shared" si="156"/>
        <v>31844.040844237788</v>
      </c>
      <c r="BU121" s="5">
        <f t="shared" si="156"/>
        <v>32056.334449866037</v>
      </c>
      <c r="BV121" s="5">
        <f t="shared" si="156"/>
        <v>32270.043346198476</v>
      </c>
      <c r="BW121" s="5">
        <f t="shared" si="156"/>
        <v>32485.176968506465</v>
      </c>
      <c r="BX121" s="5">
        <f t="shared" si="156"/>
        <v>32701.744814963171</v>
      </c>
      <c r="BY121" s="5">
        <f t="shared" si="156"/>
        <v>32919.756447062922</v>
      </c>
      <c r="BZ121" s="5">
        <f t="shared" si="156"/>
        <v>33139.221490043339</v>
      </c>
      <c r="CA121" s="5">
        <f t="shared" si="156"/>
        <v>33360.149633310291</v>
      </c>
      <c r="CB121" s="5">
        <f t="shared" si="156"/>
        <v>33582.550630865691</v>
      </c>
      <c r="CC121" s="5">
        <f t="shared" si="156"/>
        <v>33806.434301738125</v>
      </c>
      <c r="CD121" s="5">
        <f t="shared" si="156"/>
        <v>34031.810530416376</v>
      </c>
      <c r="CE121" s="5">
        <f t="shared" si="156"/>
        <v>34258.689267285816</v>
      </c>
      <c r="CF121" s="5">
        <f t="shared" si="156"/>
        <v>34487.080529067716</v>
      </c>
      <c r="CG121" s="5">
        <f t="shared" si="156"/>
        <v>34716.994399261501</v>
      </c>
      <c r="CH121" s="5">
        <f t="shared" si="156"/>
        <v>34948.441028589907</v>
      </c>
      <c r="CI121" s="5">
        <f t="shared" si="156"/>
        <v>35181.43063544717</v>
      </c>
      <c r="CJ121" s="5">
        <f t="shared" si="156"/>
        <v>35415.97350635015</v>
      </c>
      <c r="CK121" s="5">
        <f t="shared" si="156"/>
        <v>35652.07999639248</v>
      </c>
      <c r="CL121" s="5">
        <f t="shared" si="156"/>
        <v>35889.760529701758</v>
      </c>
      <c r="CM121" s="5">
        <f t="shared" si="156"/>
        <v>36129.025599899767</v>
      </c>
      <c r="CN121" s="5">
        <f t="shared" si="156"/>
        <v>36369.885770565765</v>
      </c>
      <c r="CO121" s="5">
        <f t="shared" si="156"/>
        <v>36612.35167570287</v>
      </c>
      <c r="CP121" s="5">
        <f t="shared" si="156"/>
        <v>36856.434020207555</v>
      </c>
      <c r="CQ121" s="5">
        <f t="shared" si="156"/>
        <v>37102.143580342272</v>
      </c>
      <c r="CR121" s="5">
        <f t="shared" si="156"/>
        <v>37349.491204211219</v>
      </c>
      <c r="CS121" s="5">
        <f t="shared" si="156"/>
        <v>37598.487812239291</v>
      </c>
      <c r="CT121" s="5">
        <f t="shared" si="156"/>
        <v>37849.144397654214</v>
      </c>
      <c r="CU121" s="5">
        <f t="shared" si="156"/>
        <v>38101.472026971904</v>
      </c>
      <c r="CV121" s="5">
        <f t="shared" si="156"/>
        <v>38355.481840485045</v>
      </c>
      <c r="CW121" s="5">
        <f t="shared" si="156"/>
        <v>38611.18505275494</v>
      </c>
      <c r="CX121" s="5">
        <f t="shared" si="156"/>
        <v>38868.592953106636</v>
      </c>
      <c r="CY121" s="5">
        <f t="shared" si="156"/>
        <v>39127.716906127345</v>
      </c>
      <c r="CZ121" s="5">
        <f t="shared" si="156"/>
        <v>39388.568352168193</v>
      </c>
      <c r="DA121" s="5">
        <f t="shared" si="156"/>
        <v>39651.158807849315</v>
      </c>
      <c r="DB121" s="5">
        <f t="shared" si="156"/>
        <v>39915.499866568309</v>
      </c>
      <c r="DC121" s="5">
        <f t="shared" si="156"/>
        <v>40181.603199012097</v>
      </c>
      <c r="DD121" s="5">
        <f t="shared" si="156"/>
        <v>40449.480553672176</v>
      </c>
      <c r="DE121" s="5">
        <f t="shared" si="156"/>
        <v>40719.143757363323</v>
      </c>
      <c r="DF121" s="5">
        <f t="shared" si="156"/>
        <v>40990.604715745743</v>
      </c>
      <c r="DG121" s="5">
        <f t="shared" si="156"/>
        <v>41263.875413850714</v>
      </c>
      <c r="DH121" s="5">
        <f t="shared" si="156"/>
        <v>41538.967916609719</v>
      </c>
      <c r="DI121" s="5">
        <f t="shared" si="156"/>
        <v>41815.894369387112</v>
      </c>
      <c r="DJ121" s="5">
        <f t="shared" si="156"/>
        <v>42094.666998516353</v>
      </c>
      <c r="DK121" s="5">
        <f t="shared" si="156"/>
        <v>42375.298111839795</v>
      </c>
      <c r="DL121" s="5">
        <f t="shared" si="156"/>
        <v>42657.800099252054</v>
      </c>
      <c r="DM121" s="5">
        <f t="shared" si="156"/>
        <v>42942.185433247061</v>
      </c>
      <c r="DN121" s="5">
        <f t="shared" si="156"/>
        <v>43228.466669468704</v>
      </c>
      <c r="DO121" s="5">
        <f t="shared" si="156"/>
        <v>43516.656447265159</v>
      </c>
      <c r="DP121" s="5">
        <f t="shared" si="156"/>
        <v>43806.767490246923</v>
      </c>
      <c r="DQ121" s="5">
        <f t="shared" si="156"/>
        <v>44098.812606848565</v>
      </c>
      <c r="DR121" s="5">
        <f t="shared" si="156"/>
        <v>44392.80469089422</v>
      </c>
      <c r="DS121" s="5">
        <f t="shared" si="156"/>
        <v>44688.756722166843</v>
      </c>
      <c r="DT121" s="5">
        <f t="shared" si="156"/>
        <v>44986.681766981288</v>
      </c>
      <c r="DU121" s="5">
        <f t="shared" si="156"/>
        <v>45286.59297876116</v>
      </c>
      <c r="DV121" s="5">
        <f t="shared" si="156"/>
        <v>45588.503598619565</v>
      </c>
      <c r="DW121" s="5">
        <f t="shared" si="156"/>
        <v>45892.426955943694</v>
      </c>
      <c r="DX121" s="5">
        <f t="shared" si="156"/>
        <v>46198.376468983319</v>
      </c>
      <c r="DY121" s="5">
        <f t="shared" si="156"/>
        <v>46506.365645443206</v>
      </c>
      <c r="DZ121" s="5">
        <f t="shared" si="156"/>
        <v>46816.408083079492</v>
      </c>
      <c r="EA121" s="5">
        <f t="shared" ref="EA121:GL121" si="157">IF(EA95&lt;=$B$92, DZ121*(1+$B$34/12), 0)</f>
        <v>47128.517470300016</v>
      </c>
      <c r="EB121" s="5">
        <f t="shared" si="157"/>
        <v>47442.70758676868</v>
      </c>
      <c r="EC121" s="5">
        <f t="shared" si="157"/>
        <v>47758.992304013802</v>
      </c>
      <c r="ED121" s="5">
        <f t="shared" si="157"/>
        <v>48077.38558604056</v>
      </c>
      <c r="EE121" s="5">
        <f t="shared" si="157"/>
        <v>48397.901489947493</v>
      </c>
      <c r="EF121" s="5">
        <f t="shared" si="157"/>
        <v>48720.554166547139</v>
      </c>
      <c r="EG121" s="5">
        <f t="shared" si="157"/>
        <v>49045.357860990785</v>
      </c>
      <c r="EH121" s="5">
        <f t="shared" si="157"/>
        <v>49372.326913397388</v>
      </c>
      <c r="EI121" s="5">
        <f t="shared" si="157"/>
        <v>49701.475759486704</v>
      </c>
      <c r="EJ121" s="5">
        <f t="shared" si="157"/>
        <v>50032.818931216614</v>
      </c>
      <c r="EK121" s="5">
        <f t="shared" si="157"/>
        <v>50366.371057424723</v>
      </c>
      <c r="EL121" s="5">
        <f t="shared" si="157"/>
        <v>50702.14686447422</v>
      </c>
      <c r="EM121" s="5">
        <f t="shared" si="157"/>
        <v>51040.161176904046</v>
      </c>
      <c r="EN121" s="5">
        <f t="shared" si="157"/>
        <v>51380.428918083402</v>
      </c>
      <c r="EO121" s="5">
        <f t="shared" si="157"/>
        <v>51722.965110870624</v>
      </c>
      <c r="EP121" s="5">
        <f t="shared" si="157"/>
        <v>52067.784878276427</v>
      </c>
      <c r="EQ121" s="5">
        <f t="shared" si="157"/>
        <v>52414.903444131596</v>
      </c>
      <c r="ER121" s="5">
        <f t="shared" si="157"/>
        <v>52764.336133759134</v>
      </c>
      <c r="ES121" s="5">
        <f t="shared" si="157"/>
        <v>53116.098374650857</v>
      </c>
      <c r="ET121" s="5">
        <f t="shared" si="157"/>
        <v>53470.205697148529</v>
      </c>
      <c r="EU121" s="5">
        <f t="shared" si="157"/>
        <v>53826.673735129516</v>
      </c>
      <c r="EV121" s="5">
        <f t="shared" si="157"/>
        <v>54185.518226697044</v>
      </c>
      <c r="EW121" s="5">
        <f t="shared" si="157"/>
        <v>54546.755014875023</v>
      </c>
      <c r="EX121" s="5">
        <f t="shared" si="157"/>
        <v>54910.400048307522</v>
      </c>
      <c r="EY121" s="5">
        <f t="shared" si="157"/>
        <v>55276.469381962903</v>
      </c>
      <c r="EZ121" s="5">
        <f t="shared" si="157"/>
        <v>55644.979177842652</v>
      </c>
      <c r="FA121" s="5">
        <f t="shared" si="157"/>
        <v>56015.945705694932</v>
      </c>
      <c r="FB121" s="5">
        <f t="shared" si="157"/>
        <v>56389.385343732894</v>
      </c>
      <c r="FC121" s="5">
        <f t="shared" si="157"/>
        <v>56765.314579357779</v>
      </c>
      <c r="FD121" s="5">
        <f t="shared" si="157"/>
        <v>57143.750009886826</v>
      </c>
      <c r="FE121" s="5">
        <f t="shared" si="157"/>
        <v>57524.708343286067</v>
      </c>
      <c r="FF121" s="5">
        <f t="shared" si="157"/>
        <v>57908.206398907969</v>
      </c>
      <c r="FG121" s="5">
        <f t="shared" si="157"/>
        <v>58294.261108234015</v>
      </c>
      <c r="FH121" s="5">
        <f t="shared" si="157"/>
        <v>58682.889515622235</v>
      </c>
      <c r="FI121" s="5">
        <f t="shared" si="157"/>
        <v>59074.108779059716</v>
      </c>
      <c r="FJ121" s="5">
        <f t="shared" si="157"/>
        <v>59467.936170920111</v>
      </c>
      <c r="FK121" s="5">
        <f t="shared" si="157"/>
        <v>59864.389078726243</v>
      </c>
      <c r="FL121" s="5">
        <f t="shared" si="157"/>
        <v>60263.485005917748</v>
      </c>
      <c r="FM121" s="5">
        <f t="shared" si="157"/>
        <v>60665.241572623861</v>
      </c>
      <c r="FN121" s="5">
        <f t="shared" si="157"/>
        <v>61069.676516441352</v>
      </c>
      <c r="FO121" s="5">
        <f t="shared" si="157"/>
        <v>61476.807693217626</v>
      </c>
      <c r="FP121" s="5">
        <f t="shared" si="157"/>
        <v>61886.653077839073</v>
      </c>
      <c r="FQ121" s="5">
        <f t="shared" si="157"/>
        <v>62299.230765024666</v>
      </c>
      <c r="FR121" s="5">
        <f t="shared" si="157"/>
        <v>62714.558970124825</v>
      </c>
      <c r="FS121" s="5">
        <f t="shared" si="157"/>
        <v>63132.656029925653</v>
      </c>
      <c r="FT121" s="5">
        <f t="shared" si="157"/>
        <v>63553.540403458486</v>
      </c>
      <c r="FU121" s="5">
        <f t="shared" si="157"/>
        <v>63977.230672814869</v>
      </c>
      <c r="FV121" s="5">
        <f t="shared" si="157"/>
        <v>64403.745543966965</v>
      </c>
      <c r="FW121" s="5">
        <f t="shared" si="157"/>
        <v>64833.103847593404</v>
      </c>
      <c r="FX121" s="5">
        <f t="shared" si="157"/>
        <v>65265.324539910689</v>
      </c>
      <c r="FY121" s="5">
        <f t="shared" si="157"/>
        <v>65700.426703510093</v>
      </c>
      <c r="FZ121" s="5">
        <f t="shared" si="157"/>
        <v>66138.429548200162</v>
      </c>
      <c r="GA121" s="5">
        <f t="shared" si="157"/>
        <v>66579.352411854823</v>
      </c>
      <c r="GB121" s="5">
        <f t="shared" si="157"/>
        <v>67023.214761267183</v>
      </c>
      <c r="GC121" s="5">
        <f t="shared" si="157"/>
        <v>67470.036193008957</v>
      </c>
      <c r="GD121" s="5">
        <f t="shared" si="157"/>
        <v>67919.836434295677</v>
      </c>
      <c r="GE121" s="5">
        <f t="shared" si="157"/>
        <v>68372.635343857648</v>
      </c>
      <c r="GF121" s="5">
        <f t="shared" si="157"/>
        <v>68828.452912816691</v>
      </c>
      <c r="GG121" s="5">
        <f t="shared" si="157"/>
        <v>69287.309265568794</v>
      </c>
      <c r="GH121" s="5">
        <f t="shared" si="157"/>
        <v>69749.224660672582</v>
      </c>
      <c r="GI121" s="5">
        <f t="shared" si="157"/>
        <v>70214.21949174373</v>
      </c>
      <c r="GJ121" s="5">
        <f t="shared" si="157"/>
        <v>70682.314288355352</v>
      </c>
      <c r="GK121" s="5">
        <f t="shared" si="157"/>
        <v>71153.52971694438</v>
      </c>
      <c r="GL121" s="5">
        <f t="shared" si="157"/>
        <v>71627.886581724</v>
      </c>
      <c r="GM121" s="5">
        <f t="shared" ref="GM121:IX121" si="158">IF(GM95&lt;=$B$92, GL121*(1+$B$34/12), 0)</f>
        <v>72105.405825602153</v>
      </c>
      <c r="GN121" s="5">
        <f t="shared" si="158"/>
        <v>72586.108531106162</v>
      </c>
      <c r="GO121" s="5">
        <f t="shared" si="158"/>
        <v>73070.015921313534</v>
      </c>
      <c r="GP121" s="5">
        <f t="shared" si="158"/>
        <v>73557.149360788957</v>
      </c>
      <c r="GQ121" s="5">
        <f t="shared" si="158"/>
        <v>74047.530356527539</v>
      </c>
      <c r="GR121" s="5">
        <f t="shared" si="158"/>
        <v>74541.18055890438</v>
      </c>
      <c r="GS121" s="5">
        <f t="shared" si="158"/>
        <v>75038.121762630399</v>
      </c>
      <c r="GT121" s="5">
        <f t="shared" si="158"/>
        <v>75538.375907714595</v>
      </c>
      <c r="GU121" s="5">
        <f t="shared" si="158"/>
        <v>76041.965080432681</v>
      </c>
      <c r="GV121" s="5">
        <f t="shared" si="158"/>
        <v>76548.911514302221</v>
      </c>
      <c r="GW121" s="5">
        <f t="shared" si="158"/>
        <v>77059.237591064229</v>
      </c>
      <c r="GX121" s="5">
        <f t="shared" si="158"/>
        <v>77572.965841671321</v>
      </c>
      <c r="GY121" s="5">
        <f t="shared" si="158"/>
        <v>78090.118947282463</v>
      </c>
      <c r="GZ121" s="5">
        <f t="shared" si="158"/>
        <v>78610.719740264336</v>
      </c>
      <c r="HA121" s="5">
        <f t="shared" si="158"/>
        <v>79134.791205199421</v>
      </c>
      <c r="HB121" s="5">
        <f t="shared" si="158"/>
        <v>79662.356479900744</v>
      </c>
      <c r="HC121" s="5">
        <f t="shared" si="158"/>
        <v>80193.438856433408</v>
      </c>
      <c r="HD121" s="5">
        <f t="shared" si="158"/>
        <v>80728.061782142962</v>
      </c>
      <c r="HE121" s="5">
        <f t="shared" si="158"/>
        <v>81266.248860690583</v>
      </c>
      <c r="HF121" s="5">
        <f t="shared" si="158"/>
        <v>81808.023853095176</v>
      </c>
      <c r="HG121" s="5">
        <f t="shared" si="158"/>
        <v>82353.410678782471</v>
      </c>
      <c r="HH121" s="5">
        <f t="shared" si="158"/>
        <v>82902.433416641012</v>
      </c>
      <c r="HI121" s="5">
        <f t="shared" si="158"/>
        <v>83455.116306085285</v>
      </c>
      <c r="HJ121" s="5">
        <f t="shared" si="158"/>
        <v>84011.483748125844</v>
      </c>
      <c r="HK121" s="5">
        <f t="shared" si="158"/>
        <v>84571.56030644667</v>
      </c>
      <c r="HL121" s="5">
        <f t="shared" si="158"/>
        <v>85135.370708489645</v>
      </c>
      <c r="HM121" s="5">
        <f t="shared" si="158"/>
        <v>85702.939846546244</v>
      </c>
      <c r="HN121" s="5">
        <f t="shared" si="158"/>
        <v>86274.292778856543</v>
      </c>
      <c r="HO121" s="5">
        <f t="shared" si="158"/>
        <v>86849.454730715574</v>
      </c>
      <c r="HP121" s="5">
        <f t="shared" si="158"/>
        <v>87428.451095587006</v>
      </c>
      <c r="HQ121" s="5">
        <f t="shared" si="158"/>
        <v>88011.307436224248</v>
      </c>
      <c r="HR121" s="5">
        <f t="shared" si="158"/>
        <v>88598.049485799071</v>
      </c>
      <c r="HS121" s="5">
        <f t="shared" si="158"/>
        <v>89188.703149037727</v>
      </c>
      <c r="HT121" s="5">
        <f t="shared" si="158"/>
        <v>89783.294503364639</v>
      </c>
      <c r="HU121" s="5">
        <f t="shared" si="158"/>
        <v>90381.849800053737</v>
      </c>
      <c r="HV121" s="5">
        <f t="shared" si="158"/>
        <v>90984.395465387424</v>
      </c>
      <c r="HW121" s="5">
        <f t="shared" si="158"/>
        <v>91590.958101823329</v>
      </c>
      <c r="HX121" s="5">
        <f t="shared" si="158"/>
        <v>92201.564489168813</v>
      </c>
      <c r="HY121" s="5">
        <f t="shared" si="158"/>
        <v>92816.241585763273</v>
      </c>
      <c r="HZ121" s="5">
        <f t="shared" si="158"/>
        <v>93435.016529668355</v>
      </c>
      <c r="IA121" s="5">
        <f t="shared" si="158"/>
        <v>94057.916639866133</v>
      </c>
      <c r="IB121" s="5">
        <f t="shared" si="158"/>
        <v>94684.96941746524</v>
      </c>
      <c r="IC121" s="5">
        <f t="shared" si="158"/>
        <v>95316.202546914996</v>
      </c>
      <c r="ID121" s="5">
        <f t="shared" si="158"/>
        <v>95951.643897227754</v>
      </c>
      <c r="IE121" s="5">
        <f t="shared" si="158"/>
        <v>96591.321523209263</v>
      </c>
      <c r="IF121" s="5">
        <f t="shared" si="158"/>
        <v>97235.263666697312</v>
      </c>
      <c r="IG121" s="5">
        <f t="shared" si="158"/>
        <v>97883.498757808615</v>
      </c>
      <c r="IH121" s="5">
        <f t="shared" si="158"/>
        <v>98536.055416193994</v>
      </c>
      <c r="II121" s="5">
        <f t="shared" si="158"/>
        <v>99192.962452301945</v>
      </c>
      <c r="IJ121" s="5">
        <f t="shared" si="158"/>
        <v>99854.248868650611</v>
      </c>
      <c r="IK121" s="5">
        <f t="shared" si="158"/>
        <v>100519.94386110827</v>
      </c>
      <c r="IL121" s="5">
        <f t="shared" si="158"/>
        <v>101190.07682018232</v>
      </c>
      <c r="IM121" s="5">
        <f t="shared" si="158"/>
        <v>101864.67733231686</v>
      </c>
      <c r="IN121" s="5">
        <f t="shared" si="158"/>
        <v>102543.77518119896</v>
      </c>
      <c r="IO121" s="5">
        <f t="shared" si="158"/>
        <v>103227.40034907361</v>
      </c>
      <c r="IP121" s="5">
        <f t="shared" si="158"/>
        <v>103915.58301806742</v>
      </c>
      <c r="IQ121" s="5">
        <f t="shared" si="158"/>
        <v>104608.35357152121</v>
      </c>
      <c r="IR121" s="5">
        <f t="shared" si="158"/>
        <v>105305.74259533134</v>
      </c>
      <c r="IS121" s="5">
        <f t="shared" si="158"/>
        <v>106007.7808793002</v>
      </c>
      <c r="IT121" s="5">
        <f t="shared" si="158"/>
        <v>106714.49941849553</v>
      </c>
      <c r="IU121" s="5">
        <f t="shared" si="158"/>
        <v>107425.92941461882</v>
      </c>
      <c r="IV121" s="5">
        <f t="shared" si="158"/>
        <v>108142.10227738293</v>
      </c>
      <c r="IW121" s="5">
        <f t="shared" si="158"/>
        <v>108863.04962589881</v>
      </c>
      <c r="IX121" s="5">
        <f t="shared" si="158"/>
        <v>109588.80329007146</v>
      </c>
      <c r="IY121" s="5">
        <f t="shared" ref="IY121:LJ121" si="159">IF(IY95&lt;=$B$92, IX121*(1+$B$34/12), 0)</f>
        <v>110319.39531200526</v>
      </c>
      <c r="IZ121" s="5">
        <f t="shared" si="159"/>
        <v>111054.85794741863</v>
      </c>
      <c r="JA121" s="5">
        <f t="shared" si="159"/>
        <v>111795.22366706807</v>
      </c>
      <c r="JB121" s="5">
        <f t="shared" si="159"/>
        <v>112540.52515818184</v>
      </c>
      <c r="JC121" s="5">
        <f t="shared" si="159"/>
        <v>113290.79532590305</v>
      </c>
      <c r="JD121" s="5">
        <f t="shared" si="159"/>
        <v>114046.06729474239</v>
      </c>
      <c r="JE121" s="5">
        <f t="shared" si="159"/>
        <v>114806.37441004066</v>
      </c>
      <c r="JF121" s="5">
        <f t="shared" si="159"/>
        <v>115571.75023944092</v>
      </c>
      <c r="JG121" s="5">
        <f t="shared" si="159"/>
        <v>116342.22857437053</v>
      </c>
      <c r="JH121" s="5">
        <f t="shared" si="159"/>
        <v>117117.84343153299</v>
      </c>
      <c r="JI121" s="5">
        <f t="shared" si="159"/>
        <v>117898.62905440987</v>
      </c>
      <c r="JJ121" s="5">
        <f t="shared" si="159"/>
        <v>118684.6199147726</v>
      </c>
      <c r="JK121" s="5">
        <f t="shared" si="159"/>
        <v>119475.85071420441</v>
      </c>
      <c r="JL121" s="5">
        <f t="shared" si="159"/>
        <v>120272.35638563243</v>
      </c>
      <c r="JM121" s="5">
        <f t="shared" si="159"/>
        <v>121074.17209486998</v>
      </c>
      <c r="JN121" s="5">
        <f t="shared" si="159"/>
        <v>121881.3332421691</v>
      </c>
      <c r="JO121" s="5">
        <f t="shared" si="159"/>
        <v>122693.87546378355</v>
      </c>
      <c r="JP121" s="5">
        <f t="shared" si="159"/>
        <v>123511.83463354209</v>
      </c>
      <c r="JQ121" s="5">
        <f t="shared" si="159"/>
        <v>124335.24686443237</v>
      </c>
      <c r="JR121" s="5">
        <f t="shared" si="159"/>
        <v>125164.14851019524</v>
      </c>
      <c r="JS121" s="5">
        <f t="shared" si="159"/>
        <v>125998.57616692987</v>
      </c>
      <c r="JT121" s="5">
        <f t="shared" si="159"/>
        <v>126838.56667470939</v>
      </c>
      <c r="JU121" s="5">
        <f t="shared" si="159"/>
        <v>127684.15711920745</v>
      </c>
      <c r="JV121" s="5">
        <f t="shared" si="159"/>
        <v>128535.38483333548</v>
      </c>
      <c r="JW121" s="5">
        <f t="shared" si="159"/>
        <v>129392.28739889104</v>
      </c>
      <c r="JX121" s="5">
        <f t="shared" si="159"/>
        <v>130254.90264821697</v>
      </c>
      <c r="JY121" s="5">
        <f t="shared" si="159"/>
        <v>131123.26866587173</v>
      </c>
      <c r="JZ121" s="5">
        <f t="shared" si="159"/>
        <v>131997.42379031086</v>
      </c>
      <c r="KA121" s="5">
        <f t="shared" si="159"/>
        <v>132877.40661557959</v>
      </c>
      <c r="KB121" s="5">
        <f t="shared" si="159"/>
        <v>133763.25599301676</v>
      </c>
      <c r="KC121" s="5">
        <f t="shared" si="159"/>
        <v>134655.01103297019</v>
      </c>
      <c r="KD121" s="5">
        <f t="shared" si="159"/>
        <v>135552.71110652332</v>
      </c>
      <c r="KE121" s="5">
        <f t="shared" si="159"/>
        <v>136456.39584723348</v>
      </c>
      <c r="KF121" s="5">
        <f t="shared" si="159"/>
        <v>137366.1051528817</v>
      </c>
      <c r="KG121" s="5">
        <f t="shared" si="159"/>
        <v>138281.87918723424</v>
      </c>
      <c r="KH121" s="5">
        <f t="shared" si="159"/>
        <v>139203.7583818158</v>
      </c>
      <c r="KI121" s="5">
        <f t="shared" si="159"/>
        <v>140131.78343769457</v>
      </c>
      <c r="KJ121" s="5">
        <f t="shared" si="159"/>
        <v>141065.99532727918</v>
      </c>
      <c r="KK121" s="5">
        <f t="shared" si="159"/>
        <v>142006.43529612769</v>
      </c>
      <c r="KL121" s="5">
        <f t="shared" si="159"/>
        <v>142953.14486476852</v>
      </c>
      <c r="KM121" s="5">
        <f t="shared" si="159"/>
        <v>143906.16583053363</v>
      </c>
      <c r="KN121" s="5">
        <f t="shared" si="159"/>
        <v>144865.54026940383</v>
      </c>
      <c r="KO121" s="5">
        <f t="shared" si="159"/>
        <v>145831.31053786652</v>
      </c>
      <c r="KP121" s="5">
        <f t="shared" si="159"/>
        <v>146803.51927478562</v>
      </c>
      <c r="KQ121" s="5">
        <f t="shared" si="159"/>
        <v>147782.20940328419</v>
      </c>
      <c r="KR121" s="5">
        <f t="shared" si="159"/>
        <v>148767.4241326394</v>
      </c>
      <c r="KS121" s="5">
        <f t="shared" si="159"/>
        <v>149759.20696019032</v>
      </c>
      <c r="KT121" s="5">
        <f t="shared" si="159"/>
        <v>150757.60167325824</v>
      </c>
      <c r="KU121" s="5">
        <f t="shared" si="159"/>
        <v>151762.65235107995</v>
      </c>
      <c r="KV121" s="5">
        <f t="shared" si="159"/>
        <v>152774.4033667538</v>
      </c>
      <c r="KW121" s="5">
        <f t="shared" si="159"/>
        <v>153792.89938919881</v>
      </c>
      <c r="KX121" s="5">
        <f t="shared" si="159"/>
        <v>154818.1853851268</v>
      </c>
      <c r="KY121" s="5">
        <f t="shared" si="159"/>
        <v>155850.30662102762</v>
      </c>
      <c r="KZ121" s="5">
        <f t="shared" si="159"/>
        <v>156889.3086651678</v>
      </c>
      <c r="LA121" s="5">
        <f t="shared" si="159"/>
        <v>157935.23738960223</v>
      </c>
      <c r="LB121" s="5">
        <f t="shared" si="159"/>
        <v>158988.13897219958</v>
      </c>
      <c r="LC121" s="5">
        <f t="shared" si="159"/>
        <v>160048.05989868089</v>
      </c>
      <c r="LD121" s="5">
        <f t="shared" si="159"/>
        <v>161115.04696467207</v>
      </c>
      <c r="LE121" s="5">
        <f t="shared" si="159"/>
        <v>162189.14727776987</v>
      </c>
      <c r="LF121" s="5">
        <f t="shared" si="159"/>
        <v>163270.40825962165</v>
      </c>
      <c r="LG121" s="5">
        <f t="shared" si="159"/>
        <v>164358.87764801912</v>
      </c>
      <c r="LH121" s="5">
        <f t="shared" si="159"/>
        <v>165454.6034990059</v>
      </c>
      <c r="LI121" s="5">
        <f t="shared" si="159"/>
        <v>166557.63418899925</v>
      </c>
      <c r="LJ121" s="5">
        <f t="shared" si="159"/>
        <v>167668.01841692589</v>
      </c>
      <c r="LK121" s="5">
        <f t="shared" ref="LK121:NV121" si="160">IF(LK95&lt;=$B$92, LJ121*(1+$B$34/12), 0)</f>
        <v>168785.80520637205</v>
      </c>
      <c r="LL121" s="5">
        <f t="shared" si="160"/>
        <v>169911.04390774787</v>
      </c>
      <c r="LM121" s="5">
        <f t="shared" si="160"/>
        <v>171043.78420046618</v>
      </c>
      <c r="LN121" s="5">
        <f t="shared" si="160"/>
        <v>172184.07609513594</v>
      </c>
      <c r="LO121" s="5">
        <f t="shared" si="160"/>
        <v>173331.96993577018</v>
      </c>
      <c r="LP121" s="5">
        <f t="shared" si="160"/>
        <v>174487.51640200862</v>
      </c>
      <c r="LQ121" s="5">
        <f t="shared" si="160"/>
        <v>175650.76651135532</v>
      </c>
      <c r="LR121" s="5">
        <f t="shared" si="160"/>
        <v>176821.77162143102</v>
      </c>
      <c r="LS121" s="5">
        <f t="shared" si="160"/>
        <v>178000.58343224056</v>
      </c>
      <c r="LT121" s="5">
        <f t="shared" si="160"/>
        <v>179187.25398845549</v>
      </c>
      <c r="LU121" s="5">
        <f t="shared" si="160"/>
        <v>180381.83568171185</v>
      </c>
      <c r="LV121" s="5">
        <f t="shared" si="160"/>
        <v>181584.38125292325</v>
      </c>
      <c r="LW121" s="5">
        <f t="shared" si="160"/>
        <v>182794.9437946094</v>
      </c>
      <c r="LX121" s="5">
        <f t="shared" si="160"/>
        <v>184013.57675324011</v>
      </c>
      <c r="LY121" s="5">
        <f t="shared" si="160"/>
        <v>185240.33393159503</v>
      </c>
      <c r="LZ121" s="5">
        <f t="shared" si="160"/>
        <v>186475.26949113898</v>
      </c>
      <c r="MA121" s="5">
        <f t="shared" si="160"/>
        <v>187718.43795441324</v>
      </c>
      <c r="MB121" s="5">
        <f t="shared" si="160"/>
        <v>188969.89420744264</v>
      </c>
      <c r="MC121" s="5">
        <f t="shared" si="160"/>
        <v>190229.69350215892</v>
      </c>
      <c r="MD121" s="5">
        <f t="shared" si="160"/>
        <v>191497.89145883996</v>
      </c>
      <c r="ME121" s="5">
        <f t="shared" si="160"/>
        <v>192774.54406856556</v>
      </c>
      <c r="MF121" s="5">
        <f t="shared" si="160"/>
        <v>194059.70769568931</v>
      </c>
      <c r="MG121" s="5">
        <f t="shared" si="160"/>
        <v>195353.43908032723</v>
      </c>
      <c r="MH121" s="5">
        <f t="shared" si="160"/>
        <v>196655.79534086274</v>
      </c>
      <c r="MI121" s="5">
        <f t="shared" si="160"/>
        <v>197966.83397646848</v>
      </c>
      <c r="MJ121" s="5">
        <f t="shared" si="160"/>
        <v>199286.61286964492</v>
      </c>
      <c r="MK121" s="5">
        <f t="shared" si="160"/>
        <v>200615.19028877586</v>
      </c>
      <c r="ML121" s="5">
        <f t="shared" si="160"/>
        <v>201952.62489070103</v>
      </c>
      <c r="MM121" s="5">
        <f t="shared" si="160"/>
        <v>203298.97572330569</v>
      </c>
      <c r="MN121" s="5">
        <f t="shared" si="160"/>
        <v>204654.30222812772</v>
      </c>
      <c r="MO121" s="5">
        <f t="shared" si="160"/>
        <v>206018.6642429819</v>
      </c>
      <c r="MP121" s="5">
        <f t="shared" si="160"/>
        <v>207392.12200460176</v>
      </c>
      <c r="MQ121" s="5">
        <f t="shared" si="160"/>
        <v>208774.73615129909</v>
      </c>
      <c r="MR121" s="5">
        <f t="shared" si="160"/>
        <v>210166.56772564107</v>
      </c>
      <c r="MS121" s="5">
        <f t="shared" si="160"/>
        <v>211567.67817714534</v>
      </c>
      <c r="MT121" s="5">
        <f t="shared" si="160"/>
        <v>212978.12936499296</v>
      </c>
      <c r="MU121" s="5">
        <f t="shared" si="160"/>
        <v>214397.98356075957</v>
      </c>
      <c r="MV121" s="5">
        <f t="shared" si="160"/>
        <v>215827.30345116463</v>
      </c>
      <c r="MW121" s="5">
        <f t="shared" si="160"/>
        <v>217266.15214083905</v>
      </c>
      <c r="MX121" s="5">
        <f t="shared" si="160"/>
        <v>218714.5931551113</v>
      </c>
      <c r="MY121" s="5">
        <f t="shared" si="160"/>
        <v>0</v>
      </c>
      <c r="MZ121" s="5">
        <f t="shared" si="160"/>
        <v>0</v>
      </c>
      <c r="NA121" s="5">
        <f t="shared" si="160"/>
        <v>0</v>
      </c>
      <c r="NB121" s="5">
        <f t="shared" si="160"/>
        <v>0</v>
      </c>
      <c r="NC121" s="5">
        <f t="shared" si="160"/>
        <v>0</v>
      </c>
      <c r="ND121" s="5">
        <f t="shared" si="160"/>
        <v>0</v>
      </c>
      <c r="NE121" s="5">
        <f t="shared" si="160"/>
        <v>0</v>
      </c>
      <c r="NF121" s="5">
        <f t="shared" si="160"/>
        <v>0</v>
      </c>
      <c r="NG121" s="5">
        <f t="shared" si="160"/>
        <v>0</v>
      </c>
      <c r="NH121" s="5">
        <f t="shared" si="160"/>
        <v>0</v>
      </c>
      <c r="NI121" s="5">
        <f t="shared" si="160"/>
        <v>0</v>
      </c>
      <c r="NJ121" s="5">
        <f t="shared" si="160"/>
        <v>0</v>
      </c>
      <c r="NK121" s="5">
        <f t="shared" si="160"/>
        <v>0</v>
      </c>
      <c r="NL121" s="5">
        <f t="shared" si="160"/>
        <v>0</v>
      </c>
      <c r="NM121" s="5">
        <f t="shared" si="160"/>
        <v>0</v>
      </c>
      <c r="NN121" s="5">
        <f t="shared" si="160"/>
        <v>0</v>
      </c>
      <c r="NO121" s="5">
        <f t="shared" si="160"/>
        <v>0</v>
      </c>
      <c r="NP121" s="5">
        <f t="shared" si="160"/>
        <v>0</v>
      </c>
      <c r="NQ121" s="5">
        <f t="shared" si="160"/>
        <v>0</v>
      </c>
      <c r="NR121" s="5">
        <f t="shared" si="160"/>
        <v>0</v>
      </c>
      <c r="NS121" s="5">
        <f t="shared" si="160"/>
        <v>0</v>
      </c>
      <c r="NT121" s="5">
        <f t="shared" si="160"/>
        <v>0</v>
      </c>
      <c r="NU121" s="5">
        <f t="shared" si="160"/>
        <v>0</v>
      </c>
      <c r="NV121" s="5">
        <f t="shared" si="160"/>
        <v>0</v>
      </c>
      <c r="NW121" s="5">
        <f t="shared" ref="NW121:PF121" si="161">IF(NW95&lt;=$B$92, NV121*(1+$B$34/12), 0)</f>
        <v>0</v>
      </c>
      <c r="NX121" s="5">
        <f t="shared" si="161"/>
        <v>0</v>
      </c>
      <c r="NY121" s="5">
        <f t="shared" si="161"/>
        <v>0</v>
      </c>
      <c r="NZ121" s="5">
        <f t="shared" si="161"/>
        <v>0</v>
      </c>
      <c r="OA121" s="5">
        <f t="shared" si="161"/>
        <v>0</v>
      </c>
      <c r="OB121" s="5">
        <f t="shared" si="161"/>
        <v>0</v>
      </c>
      <c r="OC121" s="5">
        <f t="shared" si="161"/>
        <v>0</v>
      </c>
      <c r="OD121" s="5">
        <f t="shared" si="161"/>
        <v>0</v>
      </c>
      <c r="OE121" s="5">
        <f t="shared" si="161"/>
        <v>0</v>
      </c>
      <c r="OF121" s="5">
        <f t="shared" si="161"/>
        <v>0</v>
      </c>
      <c r="OG121" s="5">
        <f t="shared" si="161"/>
        <v>0</v>
      </c>
      <c r="OH121" s="5">
        <f t="shared" si="161"/>
        <v>0</v>
      </c>
      <c r="OI121" s="5">
        <f t="shared" si="161"/>
        <v>0</v>
      </c>
      <c r="OJ121" s="5">
        <f t="shared" si="161"/>
        <v>0</v>
      </c>
      <c r="OK121" s="5">
        <f t="shared" si="161"/>
        <v>0</v>
      </c>
      <c r="OL121" s="5">
        <f t="shared" si="161"/>
        <v>0</v>
      </c>
      <c r="OM121" s="5">
        <f t="shared" si="161"/>
        <v>0</v>
      </c>
      <c r="ON121" s="5">
        <f t="shared" si="161"/>
        <v>0</v>
      </c>
      <c r="OO121" s="5">
        <f t="shared" si="161"/>
        <v>0</v>
      </c>
      <c r="OP121" s="5">
        <f t="shared" si="161"/>
        <v>0</v>
      </c>
      <c r="OQ121" s="5">
        <f t="shared" si="161"/>
        <v>0</v>
      </c>
      <c r="OR121" s="5">
        <f t="shared" si="161"/>
        <v>0</v>
      </c>
      <c r="OS121" s="5">
        <f t="shared" si="161"/>
        <v>0</v>
      </c>
      <c r="OT121" s="5">
        <f t="shared" si="161"/>
        <v>0</v>
      </c>
      <c r="OU121" s="5">
        <f t="shared" si="161"/>
        <v>0</v>
      </c>
      <c r="OV121" s="5">
        <f t="shared" si="161"/>
        <v>0</v>
      </c>
      <c r="OW121" s="5">
        <f t="shared" si="161"/>
        <v>0</v>
      </c>
      <c r="OX121" s="5">
        <f t="shared" si="161"/>
        <v>0</v>
      </c>
      <c r="OY121" s="5">
        <f t="shared" si="161"/>
        <v>0</v>
      </c>
      <c r="OZ121" s="5">
        <f t="shared" si="161"/>
        <v>0</v>
      </c>
      <c r="PA121" s="5">
        <f t="shared" si="161"/>
        <v>0</v>
      </c>
      <c r="PB121" s="5">
        <f t="shared" si="161"/>
        <v>0</v>
      </c>
      <c r="PC121" s="5">
        <f t="shared" si="161"/>
        <v>0</v>
      </c>
      <c r="PD121" s="5">
        <f t="shared" si="161"/>
        <v>0</v>
      </c>
      <c r="PE121" s="5">
        <f t="shared" si="161"/>
        <v>0</v>
      </c>
      <c r="PF121" s="5">
        <f t="shared" si="161"/>
        <v>0</v>
      </c>
    </row>
    <row r="122" spans="1:422" hidden="1">
      <c r="A122" s="6" t="s">
        <v>51</v>
      </c>
      <c r="C122" s="18">
        <f>IF(C95&lt;=$B$92, B35*$E$30/12, 0)</f>
        <v>450</v>
      </c>
      <c r="D122" s="5">
        <f t="shared" ref="D122:BO122" si="162">IF(D95&lt;=$B$92, C122*(1+$E$30/12), 0)</f>
        <v>453.375</v>
      </c>
      <c r="E122" s="5">
        <f t="shared" si="162"/>
        <v>456.77531250000004</v>
      </c>
      <c r="F122" s="5">
        <f t="shared" si="162"/>
        <v>460.20112734375004</v>
      </c>
      <c r="G122" s="5">
        <f t="shared" si="162"/>
        <v>463.65263579882821</v>
      </c>
      <c r="H122" s="5">
        <f t="shared" si="162"/>
        <v>467.13003056731947</v>
      </c>
      <c r="I122" s="5">
        <f t="shared" si="162"/>
        <v>470.63350579657441</v>
      </c>
      <c r="J122" s="5">
        <f t="shared" si="162"/>
        <v>474.16325709004877</v>
      </c>
      <c r="K122" s="5">
        <f t="shared" si="162"/>
        <v>477.71948151822414</v>
      </c>
      <c r="L122" s="5">
        <f t="shared" si="162"/>
        <v>481.30237762961087</v>
      </c>
      <c r="M122" s="5">
        <f t="shared" si="162"/>
        <v>484.91214546183301</v>
      </c>
      <c r="N122" s="5">
        <f t="shared" si="162"/>
        <v>488.5489865527968</v>
      </c>
      <c r="O122" s="5">
        <f t="shared" si="162"/>
        <v>492.2131039519428</v>
      </c>
      <c r="P122" s="5">
        <f t="shared" si="162"/>
        <v>495.90470223158241</v>
      </c>
      <c r="Q122" s="5">
        <f t="shared" si="162"/>
        <v>499.62398749831931</v>
      </c>
      <c r="R122" s="5">
        <f t="shared" si="162"/>
        <v>503.37116740455673</v>
      </c>
      <c r="S122" s="5">
        <f t="shared" si="162"/>
        <v>507.14645116009092</v>
      </c>
      <c r="T122" s="5">
        <f t="shared" si="162"/>
        <v>510.95004954379164</v>
      </c>
      <c r="U122" s="5">
        <f t="shared" si="162"/>
        <v>514.78217491537009</v>
      </c>
      <c r="V122" s="5">
        <f t="shared" si="162"/>
        <v>518.64304122723536</v>
      </c>
      <c r="W122" s="5">
        <f t="shared" si="162"/>
        <v>522.53286403643961</v>
      </c>
      <c r="X122" s="5">
        <f t="shared" si="162"/>
        <v>526.45186051671294</v>
      </c>
      <c r="Y122" s="5">
        <f t="shared" si="162"/>
        <v>530.40024947058828</v>
      </c>
      <c r="Z122" s="5">
        <f t="shared" si="162"/>
        <v>534.37825134161767</v>
      </c>
      <c r="AA122" s="5">
        <f t="shared" si="162"/>
        <v>538.38608822667982</v>
      </c>
      <c r="AB122" s="5">
        <f t="shared" si="162"/>
        <v>542.42398388837989</v>
      </c>
      <c r="AC122" s="5">
        <f t="shared" si="162"/>
        <v>546.49216376754282</v>
      </c>
      <c r="AD122" s="5">
        <f t="shared" si="162"/>
        <v>550.59085499579942</v>
      </c>
      <c r="AE122" s="5">
        <f t="shared" si="162"/>
        <v>554.72028640826795</v>
      </c>
      <c r="AF122" s="5">
        <f t="shared" si="162"/>
        <v>558.88068855633003</v>
      </c>
      <c r="AG122" s="5">
        <f t="shared" si="162"/>
        <v>563.07229372050256</v>
      </c>
      <c r="AH122" s="5">
        <f t="shared" si="162"/>
        <v>567.29533592340636</v>
      </c>
      <c r="AI122" s="5">
        <f t="shared" si="162"/>
        <v>571.55005094283194</v>
      </c>
      <c r="AJ122" s="5">
        <f t="shared" si="162"/>
        <v>575.83667632490324</v>
      </c>
      <c r="AK122" s="5">
        <f t="shared" si="162"/>
        <v>580.15545139734002</v>
      </c>
      <c r="AL122" s="5">
        <f t="shared" si="162"/>
        <v>584.50661728282012</v>
      </c>
      <c r="AM122" s="5">
        <f t="shared" si="162"/>
        <v>588.89041691244131</v>
      </c>
      <c r="AN122" s="5">
        <f t="shared" si="162"/>
        <v>593.3070950392846</v>
      </c>
      <c r="AO122" s="5">
        <f t="shared" si="162"/>
        <v>597.75689825207928</v>
      </c>
      <c r="AP122" s="5">
        <f t="shared" si="162"/>
        <v>602.24007498896992</v>
      </c>
      <c r="AQ122" s="5">
        <f t="shared" si="162"/>
        <v>606.75687555138722</v>
      </c>
      <c r="AR122" s="5">
        <f t="shared" si="162"/>
        <v>611.30755211802261</v>
      </c>
      <c r="AS122" s="5">
        <f t="shared" si="162"/>
        <v>615.89235875890779</v>
      </c>
      <c r="AT122" s="5">
        <f t="shared" si="162"/>
        <v>620.51155144959966</v>
      </c>
      <c r="AU122" s="5">
        <f t="shared" si="162"/>
        <v>625.1653880854717</v>
      </c>
      <c r="AV122" s="5">
        <f t="shared" si="162"/>
        <v>629.85412849611282</v>
      </c>
      <c r="AW122" s="5">
        <f t="shared" si="162"/>
        <v>634.5780344598337</v>
      </c>
      <c r="AX122" s="5">
        <f t="shared" si="162"/>
        <v>639.3373697182825</v>
      </c>
      <c r="AY122" s="5">
        <f t="shared" si="162"/>
        <v>644.13239999116968</v>
      </c>
      <c r="AZ122" s="5">
        <f t="shared" si="162"/>
        <v>648.96339299110355</v>
      </c>
      <c r="BA122" s="5">
        <f t="shared" si="162"/>
        <v>653.83061843853682</v>
      </c>
      <c r="BB122" s="5">
        <f t="shared" si="162"/>
        <v>658.73434807682588</v>
      </c>
      <c r="BC122" s="5">
        <f t="shared" si="162"/>
        <v>663.6748556874021</v>
      </c>
      <c r="BD122" s="5">
        <f t="shared" si="162"/>
        <v>668.65241710505768</v>
      </c>
      <c r="BE122" s="5">
        <f t="shared" si="162"/>
        <v>673.66731023334569</v>
      </c>
      <c r="BF122" s="5">
        <f t="shared" si="162"/>
        <v>678.71981506009581</v>
      </c>
      <c r="BG122" s="5">
        <f t="shared" si="162"/>
        <v>683.81021367304652</v>
      </c>
      <c r="BH122" s="5">
        <f t="shared" si="162"/>
        <v>688.93879027559444</v>
      </c>
      <c r="BI122" s="5">
        <f t="shared" si="162"/>
        <v>694.10583120266142</v>
      </c>
      <c r="BJ122" s="5">
        <f t="shared" si="162"/>
        <v>699.31162493668137</v>
      </c>
      <c r="BK122" s="5">
        <f t="shared" si="162"/>
        <v>704.55646212370652</v>
      </c>
      <c r="BL122" s="5">
        <f t="shared" si="162"/>
        <v>709.84063558963442</v>
      </c>
      <c r="BM122" s="5">
        <f t="shared" si="162"/>
        <v>715.16444035655672</v>
      </c>
      <c r="BN122" s="5">
        <f t="shared" si="162"/>
        <v>720.5281736592309</v>
      </c>
      <c r="BO122" s="5">
        <f t="shared" si="162"/>
        <v>725.93213496167516</v>
      </c>
      <c r="BP122" s="5">
        <f t="shared" ref="BP122:EA122" si="163">IF(BP95&lt;=$B$92, BO122*(1+$E$30/12), 0)</f>
        <v>731.37662597388771</v>
      </c>
      <c r="BQ122" s="5">
        <f t="shared" si="163"/>
        <v>736.86195066869186</v>
      </c>
      <c r="BR122" s="5">
        <f t="shared" si="163"/>
        <v>742.38841529870706</v>
      </c>
      <c r="BS122" s="5">
        <f t="shared" si="163"/>
        <v>747.95632841344741</v>
      </c>
      <c r="BT122" s="5">
        <f t="shared" si="163"/>
        <v>753.56600087654829</v>
      </c>
      <c r="BU122" s="5">
        <f t="shared" si="163"/>
        <v>759.21774588312246</v>
      </c>
      <c r="BV122" s="5">
        <f t="shared" si="163"/>
        <v>764.91187897724592</v>
      </c>
      <c r="BW122" s="5">
        <f t="shared" si="163"/>
        <v>770.64871806957535</v>
      </c>
      <c r="BX122" s="5">
        <f t="shared" si="163"/>
        <v>776.42858345509717</v>
      </c>
      <c r="BY122" s="5">
        <f t="shared" si="163"/>
        <v>782.25179783101044</v>
      </c>
      <c r="BZ122" s="5">
        <f t="shared" si="163"/>
        <v>788.11868631474306</v>
      </c>
      <c r="CA122" s="5">
        <f t="shared" si="163"/>
        <v>794.02957646210371</v>
      </c>
      <c r="CB122" s="5">
        <f t="shared" si="163"/>
        <v>799.98479828556958</v>
      </c>
      <c r="CC122" s="5">
        <f t="shared" si="163"/>
        <v>805.98468427271143</v>
      </c>
      <c r="CD122" s="5">
        <f t="shared" si="163"/>
        <v>812.02956940475678</v>
      </c>
      <c r="CE122" s="5">
        <f t="shared" si="163"/>
        <v>818.11979117529256</v>
      </c>
      <c r="CF122" s="5">
        <f t="shared" si="163"/>
        <v>824.25568960910732</v>
      </c>
      <c r="CG122" s="5">
        <f t="shared" si="163"/>
        <v>830.4376072811757</v>
      </c>
      <c r="CH122" s="5">
        <f t="shared" si="163"/>
        <v>836.66588933578453</v>
      </c>
      <c r="CI122" s="5">
        <f t="shared" si="163"/>
        <v>842.94088350580296</v>
      </c>
      <c r="CJ122" s="5">
        <f t="shared" si="163"/>
        <v>849.26294013209656</v>
      </c>
      <c r="CK122" s="5">
        <f t="shared" si="163"/>
        <v>855.63241218308735</v>
      </c>
      <c r="CL122" s="5">
        <f t="shared" si="163"/>
        <v>862.04965527446052</v>
      </c>
      <c r="CM122" s="5">
        <f t="shared" si="163"/>
        <v>868.51502768901901</v>
      </c>
      <c r="CN122" s="5">
        <f t="shared" si="163"/>
        <v>875.02889039668673</v>
      </c>
      <c r="CO122" s="5">
        <f t="shared" si="163"/>
        <v>881.59160707466197</v>
      </c>
      <c r="CP122" s="5">
        <f t="shared" si="163"/>
        <v>888.20354412772201</v>
      </c>
      <c r="CQ122" s="5">
        <f t="shared" si="163"/>
        <v>894.86507070868004</v>
      </c>
      <c r="CR122" s="5">
        <f t="shared" si="163"/>
        <v>901.57655873899523</v>
      </c>
      <c r="CS122" s="5">
        <f t="shared" si="163"/>
        <v>908.33838292953772</v>
      </c>
      <c r="CT122" s="5">
        <f t="shared" si="163"/>
        <v>915.1509208015093</v>
      </c>
      <c r="CU122" s="5">
        <f t="shared" si="163"/>
        <v>922.01455270752069</v>
      </c>
      <c r="CV122" s="5">
        <f t="shared" si="163"/>
        <v>928.92966185282717</v>
      </c>
      <c r="CW122" s="5">
        <f t="shared" si="163"/>
        <v>935.89663431672341</v>
      </c>
      <c r="CX122" s="5">
        <f t="shared" si="163"/>
        <v>942.91585907409888</v>
      </c>
      <c r="CY122" s="5">
        <f t="shared" si="163"/>
        <v>949.98772801715472</v>
      </c>
      <c r="CZ122" s="5">
        <f t="shared" si="163"/>
        <v>957.11263597728339</v>
      </c>
      <c r="DA122" s="5">
        <f t="shared" si="163"/>
        <v>964.29098074711305</v>
      </c>
      <c r="DB122" s="5">
        <f t="shared" si="163"/>
        <v>971.52316310271647</v>
      </c>
      <c r="DC122" s="5">
        <f t="shared" si="163"/>
        <v>978.80958682598691</v>
      </c>
      <c r="DD122" s="5">
        <f t="shared" si="163"/>
        <v>986.15065872718185</v>
      </c>
      <c r="DE122" s="5">
        <f t="shared" si="163"/>
        <v>993.54678866763572</v>
      </c>
      <c r="DF122" s="5">
        <f t="shared" si="163"/>
        <v>1000.9983895826431</v>
      </c>
      <c r="DG122" s="5">
        <f t="shared" si="163"/>
        <v>1008.505877504513</v>
      </c>
      <c r="DH122" s="5">
        <f t="shared" si="163"/>
        <v>1016.069671585797</v>
      </c>
      <c r="DI122" s="5">
        <f t="shared" si="163"/>
        <v>1023.6901941226905</v>
      </c>
      <c r="DJ122" s="5">
        <f t="shared" si="163"/>
        <v>1031.3678705786108</v>
      </c>
      <c r="DK122" s="5">
        <f t="shared" si="163"/>
        <v>1039.1031296079505</v>
      </c>
      <c r="DL122" s="5">
        <f t="shared" si="163"/>
        <v>1046.89640308001</v>
      </c>
      <c r="DM122" s="5">
        <f t="shared" si="163"/>
        <v>1054.7481261031103</v>
      </c>
      <c r="DN122" s="5">
        <f t="shared" si="163"/>
        <v>1062.6587370488837</v>
      </c>
      <c r="DO122" s="5">
        <f t="shared" si="163"/>
        <v>1070.6286775767503</v>
      </c>
      <c r="DP122" s="5">
        <f t="shared" si="163"/>
        <v>1078.6583926585761</v>
      </c>
      <c r="DQ122" s="5">
        <f t="shared" si="163"/>
        <v>1086.7483306035156</v>
      </c>
      <c r="DR122" s="5">
        <f t="shared" si="163"/>
        <v>1094.898943083042</v>
      </c>
      <c r="DS122" s="5">
        <f t="shared" si="163"/>
        <v>1103.1106851561649</v>
      </c>
      <c r="DT122" s="5">
        <f t="shared" si="163"/>
        <v>1111.3840152948362</v>
      </c>
      <c r="DU122" s="5">
        <f t="shared" si="163"/>
        <v>1119.7193954095476</v>
      </c>
      <c r="DV122" s="5">
        <f t="shared" si="163"/>
        <v>1128.1172908751194</v>
      </c>
      <c r="DW122" s="5">
        <f t="shared" si="163"/>
        <v>1136.5781705566828</v>
      </c>
      <c r="DX122" s="5">
        <f t="shared" si="163"/>
        <v>1145.1025068358581</v>
      </c>
      <c r="DY122" s="5">
        <f t="shared" si="163"/>
        <v>1153.690775637127</v>
      </c>
      <c r="DZ122" s="5">
        <f t="shared" si="163"/>
        <v>1162.3434564544054</v>
      </c>
      <c r="EA122" s="5">
        <f t="shared" si="163"/>
        <v>1171.0610323778135</v>
      </c>
      <c r="EB122" s="5">
        <f t="shared" ref="EB122:GM122" si="164">IF(EB95&lt;=$B$92, EA122*(1+$E$30/12), 0)</f>
        <v>1179.8439901206473</v>
      </c>
      <c r="EC122" s="5">
        <f t="shared" si="164"/>
        <v>1188.6928200465522</v>
      </c>
      <c r="ED122" s="5">
        <f t="shared" si="164"/>
        <v>1197.6080161969014</v>
      </c>
      <c r="EE122" s="5">
        <f t="shared" si="164"/>
        <v>1206.5900763183784</v>
      </c>
      <c r="EF122" s="5">
        <f t="shared" si="164"/>
        <v>1215.6395018907663</v>
      </c>
      <c r="EG122" s="5">
        <f t="shared" si="164"/>
        <v>1224.7567981549471</v>
      </c>
      <c r="EH122" s="5">
        <f t="shared" si="164"/>
        <v>1233.9424741411092</v>
      </c>
      <c r="EI122" s="5">
        <f t="shared" si="164"/>
        <v>1243.1970426971675</v>
      </c>
      <c r="EJ122" s="5">
        <f t="shared" si="164"/>
        <v>1252.5210205173962</v>
      </c>
      <c r="EK122" s="5">
        <f t="shared" si="164"/>
        <v>1261.9149281712769</v>
      </c>
      <c r="EL122" s="5">
        <f t="shared" si="164"/>
        <v>1271.3792901325614</v>
      </c>
      <c r="EM122" s="5">
        <f t="shared" si="164"/>
        <v>1280.9146348085558</v>
      </c>
      <c r="EN122" s="5">
        <f t="shared" si="164"/>
        <v>1290.52149456962</v>
      </c>
      <c r="EO122" s="5">
        <f t="shared" si="164"/>
        <v>1300.2004057788922</v>
      </c>
      <c r="EP122" s="5">
        <f t="shared" si="164"/>
        <v>1309.9519088222339</v>
      </c>
      <c r="EQ122" s="5">
        <f t="shared" si="164"/>
        <v>1319.7765481384008</v>
      </c>
      <c r="ER122" s="5">
        <f t="shared" si="164"/>
        <v>1329.674872249439</v>
      </c>
      <c r="ES122" s="5">
        <f t="shared" si="164"/>
        <v>1339.6474337913098</v>
      </c>
      <c r="ET122" s="5">
        <f t="shared" si="164"/>
        <v>1349.6947895447447</v>
      </c>
      <c r="EU122" s="5">
        <f t="shared" si="164"/>
        <v>1359.8175004663303</v>
      </c>
      <c r="EV122" s="5">
        <f t="shared" si="164"/>
        <v>1370.0161317198279</v>
      </c>
      <c r="EW122" s="5">
        <f t="shared" si="164"/>
        <v>1380.2912527077267</v>
      </c>
      <c r="EX122" s="5">
        <f t="shared" si="164"/>
        <v>1390.6434371030348</v>
      </c>
      <c r="EY122" s="5">
        <f t="shared" si="164"/>
        <v>1401.0732628813075</v>
      </c>
      <c r="EZ122" s="5">
        <f t="shared" si="164"/>
        <v>1411.5813123529174</v>
      </c>
      <c r="FA122" s="5">
        <f t="shared" si="164"/>
        <v>1422.1681721955645</v>
      </c>
      <c r="FB122" s="5">
        <f t="shared" si="164"/>
        <v>1432.8344334870312</v>
      </c>
      <c r="FC122" s="5">
        <f t="shared" si="164"/>
        <v>1443.580691738184</v>
      </c>
      <c r="FD122" s="5">
        <f t="shared" si="164"/>
        <v>1454.4075469262204</v>
      </c>
      <c r="FE122" s="5">
        <f t="shared" si="164"/>
        <v>1465.3156035281672</v>
      </c>
      <c r="FF122" s="5">
        <f t="shared" si="164"/>
        <v>1476.3054705546285</v>
      </c>
      <c r="FG122" s="5">
        <f t="shared" si="164"/>
        <v>1487.3777615837882</v>
      </c>
      <c r="FH122" s="5">
        <f t="shared" si="164"/>
        <v>1498.5330947956668</v>
      </c>
      <c r="FI122" s="5">
        <f t="shared" si="164"/>
        <v>1509.7720930066343</v>
      </c>
      <c r="FJ122" s="5">
        <f t="shared" si="164"/>
        <v>1521.0953837041843</v>
      </c>
      <c r="FK122" s="5">
        <f t="shared" si="164"/>
        <v>1532.5035990819658</v>
      </c>
      <c r="FL122" s="5">
        <f t="shared" si="164"/>
        <v>1543.9973760750806</v>
      </c>
      <c r="FM122" s="5">
        <f t="shared" si="164"/>
        <v>1555.5773563956438</v>
      </c>
      <c r="FN122" s="5">
        <f t="shared" si="164"/>
        <v>1567.2441865686112</v>
      </c>
      <c r="FO122" s="5">
        <f t="shared" si="164"/>
        <v>1578.9985179678758</v>
      </c>
      <c r="FP122" s="5">
        <f t="shared" si="164"/>
        <v>1590.841006852635</v>
      </c>
      <c r="FQ122" s="5">
        <f t="shared" si="164"/>
        <v>1602.7723144040299</v>
      </c>
      <c r="FR122" s="5">
        <f t="shared" si="164"/>
        <v>1614.7931067620602</v>
      </c>
      <c r="FS122" s="5">
        <f t="shared" si="164"/>
        <v>1626.9040550627758</v>
      </c>
      <c r="FT122" s="5">
        <f t="shared" si="164"/>
        <v>1639.1058354757467</v>
      </c>
      <c r="FU122" s="5">
        <f t="shared" si="164"/>
        <v>1651.399129241815</v>
      </c>
      <c r="FV122" s="5">
        <f t="shared" si="164"/>
        <v>1663.7846227111288</v>
      </c>
      <c r="FW122" s="5">
        <f t="shared" si="164"/>
        <v>1676.2630073814623</v>
      </c>
      <c r="FX122" s="5">
        <f t="shared" si="164"/>
        <v>1688.8349799368234</v>
      </c>
      <c r="FY122" s="5">
        <f t="shared" si="164"/>
        <v>1701.5012422863497</v>
      </c>
      <c r="FZ122" s="5">
        <f t="shared" si="164"/>
        <v>1714.2625016034974</v>
      </c>
      <c r="GA122" s="5">
        <f t="shared" si="164"/>
        <v>1727.1194703655237</v>
      </c>
      <c r="GB122" s="5">
        <f t="shared" si="164"/>
        <v>1740.0728663932653</v>
      </c>
      <c r="GC122" s="5">
        <f t="shared" si="164"/>
        <v>1753.1234128912149</v>
      </c>
      <c r="GD122" s="5">
        <f t="shared" si="164"/>
        <v>1766.2718384878992</v>
      </c>
      <c r="GE122" s="5">
        <f t="shared" si="164"/>
        <v>1779.5188772765587</v>
      </c>
      <c r="GF122" s="5">
        <f t="shared" si="164"/>
        <v>1792.8652688561331</v>
      </c>
      <c r="GG122" s="5">
        <f t="shared" si="164"/>
        <v>1806.3117583725541</v>
      </c>
      <c r="GH122" s="5">
        <f t="shared" si="164"/>
        <v>1819.8590965603485</v>
      </c>
      <c r="GI122" s="5">
        <f t="shared" si="164"/>
        <v>1833.5080397845511</v>
      </c>
      <c r="GJ122" s="5">
        <f t="shared" si="164"/>
        <v>1847.2593500829353</v>
      </c>
      <c r="GK122" s="5">
        <f t="shared" si="164"/>
        <v>1861.1137952085573</v>
      </c>
      <c r="GL122" s="5">
        <f t="shared" si="164"/>
        <v>1875.0721486726216</v>
      </c>
      <c r="GM122" s="5">
        <f t="shared" si="164"/>
        <v>1889.1351897876664</v>
      </c>
      <c r="GN122" s="5">
        <f t="shared" ref="GN122:IY122" si="165">IF(GN95&lt;=$B$92, GM122*(1+$E$30/12), 0)</f>
        <v>1903.3037037110739</v>
      </c>
      <c r="GO122" s="5">
        <f t="shared" si="165"/>
        <v>1917.5784814889071</v>
      </c>
      <c r="GP122" s="5">
        <f t="shared" si="165"/>
        <v>1931.9603201000739</v>
      </c>
      <c r="GQ122" s="5">
        <f t="shared" si="165"/>
        <v>1946.4500225008246</v>
      </c>
      <c r="GR122" s="5">
        <f t="shared" si="165"/>
        <v>1961.0483976695809</v>
      </c>
      <c r="GS122" s="5">
        <f t="shared" si="165"/>
        <v>1975.7562606521028</v>
      </c>
      <c r="GT122" s="5">
        <f t="shared" si="165"/>
        <v>1990.5744326069937</v>
      </c>
      <c r="GU122" s="5">
        <f t="shared" si="165"/>
        <v>2005.5037408515464</v>
      </c>
      <c r="GV122" s="5">
        <f t="shared" si="165"/>
        <v>2020.5450189079331</v>
      </c>
      <c r="GW122" s="5">
        <f t="shared" si="165"/>
        <v>2035.6991065497427</v>
      </c>
      <c r="GX122" s="5">
        <f t="shared" si="165"/>
        <v>2050.9668498488659</v>
      </c>
      <c r="GY122" s="5">
        <f t="shared" si="165"/>
        <v>2066.3491012227323</v>
      </c>
      <c r="GZ122" s="5">
        <f t="shared" si="165"/>
        <v>2081.8467194819027</v>
      </c>
      <c r="HA122" s="5">
        <f t="shared" si="165"/>
        <v>2097.4605698780169</v>
      </c>
      <c r="HB122" s="5">
        <f t="shared" si="165"/>
        <v>2113.1915241521024</v>
      </c>
      <c r="HC122" s="5">
        <f t="shared" si="165"/>
        <v>2129.0404605832432</v>
      </c>
      <c r="HD122" s="5">
        <f t="shared" si="165"/>
        <v>2145.0082640376177</v>
      </c>
      <c r="HE122" s="5">
        <f t="shared" si="165"/>
        <v>2161.0958260179</v>
      </c>
      <c r="HF122" s="5">
        <f t="shared" si="165"/>
        <v>2177.3040447130343</v>
      </c>
      <c r="HG122" s="5">
        <f t="shared" si="165"/>
        <v>2193.6338250483823</v>
      </c>
      <c r="HH122" s="5">
        <f t="shared" si="165"/>
        <v>2210.0860787362453</v>
      </c>
      <c r="HI122" s="5">
        <f t="shared" si="165"/>
        <v>2226.6617243267674</v>
      </c>
      <c r="HJ122" s="5">
        <f t="shared" si="165"/>
        <v>2243.3616872592183</v>
      </c>
      <c r="HK122" s="5">
        <f t="shared" si="165"/>
        <v>2260.1868999136627</v>
      </c>
      <c r="HL122" s="5">
        <f t="shared" si="165"/>
        <v>2277.1383016630152</v>
      </c>
      <c r="HM122" s="5">
        <f t="shared" si="165"/>
        <v>2294.216838925488</v>
      </c>
      <c r="HN122" s="5">
        <f t="shared" si="165"/>
        <v>2311.4234652174291</v>
      </c>
      <c r="HO122" s="5">
        <f t="shared" si="165"/>
        <v>2328.7591412065599</v>
      </c>
      <c r="HP122" s="5">
        <f t="shared" si="165"/>
        <v>2346.2248347656091</v>
      </c>
      <c r="HQ122" s="5">
        <f t="shared" si="165"/>
        <v>2363.8215210263511</v>
      </c>
      <c r="HR122" s="5">
        <f t="shared" si="165"/>
        <v>2381.550182434049</v>
      </c>
      <c r="HS122" s="5">
        <f t="shared" si="165"/>
        <v>2399.4118088023047</v>
      </c>
      <c r="HT122" s="5">
        <f t="shared" si="165"/>
        <v>2417.4073973683221</v>
      </c>
      <c r="HU122" s="5">
        <f t="shared" si="165"/>
        <v>2435.5379528485846</v>
      </c>
      <c r="HV122" s="5">
        <f t="shared" si="165"/>
        <v>2453.8044874949492</v>
      </c>
      <c r="HW122" s="5">
        <f t="shared" si="165"/>
        <v>2472.2080211511616</v>
      </c>
      <c r="HX122" s="5">
        <f t="shared" si="165"/>
        <v>2490.7495813097953</v>
      </c>
      <c r="HY122" s="5">
        <f t="shared" si="165"/>
        <v>2509.4302031696188</v>
      </c>
      <c r="HZ122" s="5">
        <f t="shared" si="165"/>
        <v>2528.2509296933913</v>
      </c>
      <c r="IA122" s="5">
        <f t="shared" si="165"/>
        <v>2547.212811666092</v>
      </c>
      <c r="IB122" s="5">
        <f t="shared" si="165"/>
        <v>2566.3169077535877</v>
      </c>
      <c r="IC122" s="5">
        <f t="shared" si="165"/>
        <v>2585.5642845617399</v>
      </c>
      <c r="ID122" s="5">
        <f t="shared" si="165"/>
        <v>2604.9560166959532</v>
      </c>
      <c r="IE122" s="5">
        <f t="shared" si="165"/>
        <v>2624.4931868211729</v>
      </c>
      <c r="IF122" s="5">
        <f t="shared" si="165"/>
        <v>2644.1768857223319</v>
      </c>
      <c r="IG122" s="5">
        <f t="shared" si="165"/>
        <v>2664.0082123652496</v>
      </c>
      <c r="IH122" s="5">
        <f t="shared" si="165"/>
        <v>2683.9882739579893</v>
      </c>
      <c r="II122" s="5">
        <f t="shared" si="165"/>
        <v>2704.1181860126744</v>
      </c>
      <c r="IJ122" s="5">
        <f t="shared" si="165"/>
        <v>2724.3990724077698</v>
      </c>
      <c r="IK122" s="5">
        <f t="shared" si="165"/>
        <v>2744.8320654508284</v>
      </c>
      <c r="IL122" s="5">
        <f t="shared" si="165"/>
        <v>2765.4183059417096</v>
      </c>
      <c r="IM122" s="5">
        <f t="shared" si="165"/>
        <v>2786.1589432362725</v>
      </c>
      <c r="IN122" s="5">
        <f t="shared" si="165"/>
        <v>2807.0551353105448</v>
      </c>
      <c r="IO122" s="5">
        <f t="shared" si="165"/>
        <v>2828.1080488253742</v>
      </c>
      <c r="IP122" s="5">
        <f t="shared" si="165"/>
        <v>2849.3188591915646</v>
      </c>
      <c r="IQ122" s="5">
        <f t="shared" si="165"/>
        <v>2870.6887506355015</v>
      </c>
      <c r="IR122" s="5">
        <f t="shared" si="165"/>
        <v>2892.218916265268</v>
      </c>
      <c r="IS122" s="5">
        <f t="shared" si="165"/>
        <v>2913.9105581372578</v>
      </c>
      <c r="IT122" s="5">
        <f t="shared" si="165"/>
        <v>2935.7648873232874</v>
      </c>
      <c r="IU122" s="5">
        <f t="shared" si="165"/>
        <v>2957.7831239782122</v>
      </c>
      <c r="IV122" s="5">
        <f t="shared" si="165"/>
        <v>2979.9664974080488</v>
      </c>
      <c r="IW122" s="5">
        <f t="shared" si="165"/>
        <v>3002.3162461386091</v>
      </c>
      <c r="IX122" s="5">
        <f t="shared" si="165"/>
        <v>3024.8336179846488</v>
      </c>
      <c r="IY122" s="5">
        <f t="shared" si="165"/>
        <v>3047.5198701195336</v>
      </c>
      <c r="IZ122" s="5">
        <f t="shared" ref="IZ122:LK122" si="166">IF(IZ95&lt;=$B$92, IY122*(1+$E$30/12), 0)</f>
        <v>3070.3762691454303</v>
      </c>
      <c r="JA122" s="5">
        <f t="shared" si="166"/>
        <v>3093.4040911640213</v>
      </c>
      <c r="JB122" s="5">
        <f t="shared" si="166"/>
        <v>3116.6046218477518</v>
      </c>
      <c r="JC122" s="5">
        <f t="shared" si="166"/>
        <v>3139.9791565116102</v>
      </c>
      <c r="JD122" s="5">
        <f t="shared" si="166"/>
        <v>3163.5290001854473</v>
      </c>
      <c r="JE122" s="5">
        <f t="shared" si="166"/>
        <v>3187.2554676868385</v>
      </c>
      <c r="JF122" s="5">
        <f t="shared" si="166"/>
        <v>3211.15988369449</v>
      </c>
      <c r="JG122" s="5">
        <f t="shared" si="166"/>
        <v>3235.2435828221987</v>
      </c>
      <c r="JH122" s="5">
        <f t="shared" si="166"/>
        <v>3259.5079096933655</v>
      </c>
      <c r="JI122" s="5">
        <f t="shared" si="166"/>
        <v>3283.954219016066</v>
      </c>
      <c r="JJ122" s="5">
        <f t="shared" si="166"/>
        <v>3308.5838756586868</v>
      </c>
      <c r="JK122" s="5">
        <f t="shared" si="166"/>
        <v>3333.3982547261271</v>
      </c>
      <c r="JL122" s="5">
        <f t="shared" si="166"/>
        <v>3358.398741636573</v>
      </c>
      <c r="JM122" s="5">
        <f t="shared" si="166"/>
        <v>3383.5867321988476</v>
      </c>
      <c r="JN122" s="5">
        <f t="shared" si="166"/>
        <v>3408.9636326903392</v>
      </c>
      <c r="JO122" s="5">
        <f t="shared" si="166"/>
        <v>3434.5308599355171</v>
      </c>
      <c r="JP122" s="5">
        <f t="shared" si="166"/>
        <v>3460.2898413850339</v>
      </c>
      <c r="JQ122" s="5">
        <f t="shared" si="166"/>
        <v>3486.242015195422</v>
      </c>
      <c r="JR122" s="5">
        <f t="shared" si="166"/>
        <v>3512.3888303093877</v>
      </c>
      <c r="JS122" s="5">
        <f t="shared" si="166"/>
        <v>3538.7317465367082</v>
      </c>
      <c r="JT122" s="5">
        <f t="shared" si="166"/>
        <v>3565.2722346357336</v>
      </c>
      <c r="JU122" s="5">
        <f t="shared" si="166"/>
        <v>3592.0117763955018</v>
      </c>
      <c r="JV122" s="5">
        <f t="shared" si="166"/>
        <v>3618.9518647184682</v>
      </c>
      <c r="JW122" s="5">
        <f t="shared" si="166"/>
        <v>3646.0940037038567</v>
      </c>
      <c r="JX122" s="5">
        <f t="shared" si="166"/>
        <v>3673.4397087316361</v>
      </c>
      <c r="JY122" s="5">
        <f t="shared" si="166"/>
        <v>3700.9905065471235</v>
      </c>
      <c r="JZ122" s="5">
        <f t="shared" si="166"/>
        <v>3728.7479353462272</v>
      </c>
      <c r="KA122" s="5">
        <f t="shared" si="166"/>
        <v>3756.713544861324</v>
      </c>
      <c r="KB122" s="5">
        <f t="shared" si="166"/>
        <v>3784.8888964477842</v>
      </c>
      <c r="KC122" s="5">
        <f t="shared" si="166"/>
        <v>3813.2755631711429</v>
      </c>
      <c r="KD122" s="5">
        <f t="shared" si="166"/>
        <v>3841.8751298949269</v>
      </c>
      <c r="KE122" s="5">
        <f t="shared" si="166"/>
        <v>3870.689193369139</v>
      </c>
      <c r="KF122" s="5">
        <f t="shared" si="166"/>
        <v>3899.719362319408</v>
      </c>
      <c r="KG122" s="5">
        <f t="shared" si="166"/>
        <v>3928.9672575368036</v>
      </c>
      <c r="KH122" s="5">
        <f t="shared" si="166"/>
        <v>3958.4345119683298</v>
      </c>
      <c r="KI122" s="5">
        <f t="shared" si="166"/>
        <v>3988.1227708080924</v>
      </c>
      <c r="KJ122" s="5">
        <f t="shared" si="166"/>
        <v>4018.0336915891535</v>
      </c>
      <c r="KK122" s="5">
        <f t="shared" si="166"/>
        <v>4048.1689442760726</v>
      </c>
      <c r="KL122" s="5">
        <f t="shared" si="166"/>
        <v>4078.5302113581433</v>
      </c>
      <c r="KM122" s="5">
        <f t="shared" si="166"/>
        <v>4109.11918794333</v>
      </c>
      <c r="KN122" s="5">
        <f t="shared" si="166"/>
        <v>4139.9375818529052</v>
      </c>
      <c r="KO122" s="5">
        <f t="shared" si="166"/>
        <v>4170.987113716802</v>
      </c>
      <c r="KP122" s="5">
        <f t="shared" si="166"/>
        <v>4202.2695170696779</v>
      </c>
      <c r="KQ122" s="5">
        <f t="shared" si="166"/>
        <v>4233.7865384477009</v>
      </c>
      <c r="KR122" s="5">
        <f t="shared" si="166"/>
        <v>4265.539937486059</v>
      </c>
      <c r="KS122" s="5">
        <f t="shared" si="166"/>
        <v>4297.5314870172051</v>
      </c>
      <c r="KT122" s="5">
        <f t="shared" si="166"/>
        <v>4329.7629731698344</v>
      </c>
      <c r="KU122" s="5">
        <f t="shared" si="166"/>
        <v>4362.2361954686085</v>
      </c>
      <c r="KV122" s="5">
        <f t="shared" si="166"/>
        <v>4394.952966934623</v>
      </c>
      <c r="KW122" s="5">
        <f t="shared" si="166"/>
        <v>4427.9151141866332</v>
      </c>
      <c r="KX122" s="5">
        <f t="shared" si="166"/>
        <v>4461.1244775430332</v>
      </c>
      <c r="KY122" s="5">
        <f t="shared" si="166"/>
        <v>4494.5829111246067</v>
      </c>
      <c r="KZ122" s="5">
        <f t="shared" si="166"/>
        <v>4528.2922829580411</v>
      </c>
      <c r="LA122" s="5">
        <f t="shared" si="166"/>
        <v>4562.2544750802272</v>
      </c>
      <c r="LB122" s="5">
        <f t="shared" si="166"/>
        <v>4596.4713836433293</v>
      </c>
      <c r="LC122" s="5">
        <f t="shared" si="166"/>
        <v>4630.9449190206542</v>
      </c>
      <c r="LD122" s="5">
        <f t="shared" si="166"/>
        <v>4665.6770059133096</v>
      </c>
      <c r="LE122" s="5">
        <f t="shared" si="166"/>
        <v>4700.6695834576594</v>
      </c>
      <c r="LF122" s="5">
        <f t="shared" si="166"/>
        <v>4735.9246053335919</v>
      </c>
      <c r="LG122" s="5">
        <f t="shared" si="166"/>
        <v>4771.4440398735942</v>
      </c>
      <c r="LH122" s="5">
        <f t="shared" si="166"/>
        <v>4807.2298701726468</v>
      </c>
      <c r="LI122" s="5">
        <f t="shared" si="166"/>
        <v>4843.2840941989416</v>
      </c>
      <c r="LJ122" s="5">
        <f t="shared" si="166"/>
        <v>4879.6087249054335</v>
      </c>
      <c r="LK122" s="5">
        <f t="shared" si="166"/>
        <v>4916.2057903422246</v>
      </c>
      <c r="LL122" s="5">
        <f t="shared" ref="LL122:NW122" si="167">IF(LL95&lt;=$B$92, LK122*(1+$E$30/12), 0)</f>
        <v>4953.0773337697919</v>
      </c>
      <c r="LM122" s="5">
        <f t="shared" si="167"/>
        <v>4990.2254137730661</v>
      </c>
      <c r="LN122" s="5">
        <f t="shared" si="167"/>
        <v>5027.6521043763642</v>
      </c>
      <c r="LO122" s="5">
        <f t="shared" si="167"/>
        <v>5065.3594951591876</v>
      </c>
      <c r="LP122" s="5">
        <f t="shared" si="167"/>
        <v>5103.3496913728823</v>
      </c>
      <c r="LQ122" s="5">
        <f t="shared" si="167"/>
        <v>5141.6248140581793</v>
      </c>
      <c r="LR122" s="5">
        <f t="shared" si="167"/>
        <v>5180.1870001636162</v>
      </c>
      <c r="LS122" s="5">
        <f t="shared" si="167"/>
        <v>5219.0384026648435</v>
      </c>
      <c r="LT122" s="5">
        <f t="shared" si="167"/>
        <v>5258.1811906848297</v>
      </c>
      <c r="LU122" s="5">
        <f t="shared" si="167"/>
        <v>5297.6175496149663</v>
      </c>
      <c r="LV122" s="5">
        <f t="shared" si="167"/>
        <v>5337.3496812370786</v>
      </c>
      <c r="LW122" s="5">
        <f t="shared" si="167"/>
        <v>5377.3798038463574</v>
      </c>
      <c r="LX122" s="5">
        <f t="shared" si="167"/>
        <v>5417.7101523752053</v>
      </c>
      <c r="LY122" s="5">
        <f t="shared" si="167"/>
        <v>5458.3429785180197</v>
      </c>
      <c r="LZ122" s="5">
        <f t="shared" si="167"/>
        <v>5499.2805508569054</v>
      </c>
      <c r="MA122" s="5">
        <f t="shared" si="167"/>
        <v>5540.5251549883324</v>
      </c>
      <c r="MB122" s="5">
        <f t="shared" si="167"/>
        <v>5582.0790936507456</v>
      </c>
      <c r="MC122" s="5">
        <f t="shared" si="167"/>
        <v>5623.9446868531268</v>
      </c>
      <c r="MD122" s="5">
        <f t="shared" si="167"/>
        <v>5666.1242720045257</v>
      </c>
      <c r="ME122" s="5">
        <f t="shared" si="167"/>
        <v>5708.6202040445596</v>
      </c>
      <c r="MF122" s="5">
        <f t="shared" si="167"/>
        <v>5751.4348555748938</v>
      </c>
      <c r="MG122" s="5">
        <f t="shared" si="167"/>
        <v>5794.5706169917057</v>
      </c>
      <c r="MH122" s="5">
        <f t="shared" si="167"/>
        <v>5838.029896619144</v>
      </c>
      <c r="MI122" s="5">
        <f t="shared" si="167"/>
        <v>5881.8151208437876</v>
      </c>
      <c r="MJ122" s="5">
        <f t="shared" si="167"/>
        <v>5925.9287342501166</v>
      </c>
      <c r="MK122" s="5">
        <f t="shared" si="167"/>
        <v>5970.373199756993</v>
      </c>
      <c r="ML122" s="5">
        <f t="shared" si="167"/>
        <v>6015.1509987551708</v>
      </c>
      <c r="MM122" s="5">
        <f t="shared" si="167"/>
        <v>6060.2646312458346</v>
      </c>
      <c r="MN122" s="5">
        <f t="shared" si="167"/>
        <v>6105.7166159801791</v>
      </c>
      <c r="MO122" s="5">
        <f t="shared" si="167"/>
        <v>6151.5094906000304</v>
      </c>
      <c r="MP122" s="5">
        <f t="shared" si="167"/>
        <v>6197.645811779531</v>
      </c>
      <c r="MQ122" s="5">
        <f t="shared" si="167"/>
        <v>6244.1281553678782</v>
      </c>
      <c r="MR122" s="5">
        <f t="shared" si="167"/>
        <v>6290.9591165331376</v>
      </c>
      <c r="MS122" s="5">
        <f t="shared" si="167"/>
        <v>6338.1413099071369</v>
      </c>
      <c r="MT122" s="5">
        <f t="shared" si="167"/>
        <v>6385.6773697314411</v>
      </c>
      <c r="MU122" s="5">
        <f t="shared" si="167"/>
        <v>6433.5699500044275</v>
      </c>
      <c r="MV122" s="5">
        <f t="shared" si="167"/>
        <v>6481.8217246294607</v>
      </c>
      <c r="MW122" s="5">
        <f t="shared" si="167"/>
        <v>6530.4353875641818</v>
      </c>
      <c r="MX122" s="5">
        <f t="shared" si="167"/>
        <v>6579.413652970914</v>
      </c>
      <c r="MY122" s="5">
        <f t="shared" si="167"/>
        <v>0</v>
      </c>
      <c r="MZ122" s="5">
        <f t="shared" si="167"/>
        <v>0</v>
      </c>
      <c r="NA122" s="5">
        <f t="shared" si="167"/>
        <v>0</v>
      </c>
      <c r="NB122" s="5">
        <f t="shared" si="167"/>
        <v>0</v>
      </c>
      <c r="NC122" s="5">
        <f t="shared" si="167"/>
        <v>0</v>
      </c>
      <c r="ND122" s="5">
        <f t="shared" si="167"/>
        <v>0</v>
      </c>
      <c r="NE122" s="5">
        <f t="shared" si="167"/>
        <v>0</v>
      </c>
      <c r="NF122" s="5">
        <f t="shared" si="167"/>
        <v>0</v>
      </c>
      <c r="NG122" s="5">
        <f t="shared" si="167"/>
        <v>0</v>
      </c>
      <c r="NH122" s="5">
        <f t="shared" si="167"/>
        <v>0</v>
      </c>
      <c r="NI122" s="5">
        <f t="shared" si="167"/>
        <v>0</v>
      </c>
      <c r="NJ122" s="5">
        <f t="shared" si="167"/>
        <v>0</v>
      </c>
      <c r="NK122" s="5">
        <f t="shared" si="167"/>
        <v>0</v>
      </c>
      <c r="NL122" s="5">
        <f t="shared" si="167"/>
        <v>0</v>
      </c>
      <c r="NM122" s="5">
        <f t="shared" si="167"/>
        <v>0</v>
      </c>
      <c r="NN122" s="5">
        <f t="shared" si="167"/>
        <v>0</v>
      </c>
      <c r="NO122" s="5">
        <f t="shared" si="167"/>
        <v>0</v>
      </c>
      <c r="NP122" s="5">
        <f t="shared" si="167"/>
        <v>0</v>
      </c>
      <c r="NQ122" s="5">
        <f t="shared" si="167"/>
        <v>0</v>
      </c>
      <c r="NR122" s="5">
        <f t="shared" si="167"/>
        <v>0</v>
      </c>
      <c r="NS122" s="5">
        <f t="shared" si="167"/>
        <v>0</v>
      </c>
      <c r="NT122" s="5">
        <f t="shared" si="167"/>
        <v>0</v>
      </c>
      <c r="NU122" s="5">
        <f t="shared" si="167"/>
        <v>0</v>
      </c>
      <c r="NV122" s="5">
        <f t="shared" si="167"/>
        <v>0</v>
      </c>
      <c r="NW122" s="5">
        <f t="shared" si="167"/>
        <v>0</v>
      </c>
      <c r="NX122" s="5">
        <f t="shared" ref="NX122:PF122" si="168">IF(NX95&lt;=$B$92, NW122*(1+$E$30/12), 0)</f>
        <v>0</v>
      </c>
      <c r="NY122" s="5">
        <f t="shared" si="168"/>
        <v>0</v>
      </c>
      <c r="NZ122" s="5">
        <f t="shared" si="168"/>
        <v>0</v>
      </c>
      <c r="OA122" s="5">
        <f t="shared" si="168"/>
        <v>0</v>
      </c>
      <c r="OB122" s="5">
        <f t="shared" si="168"/>
        <v>0</v>
      </c>
      <c r="OC122" s="5">
        <f t="shared" si="168"/>
        <v>0</v>
      </c>
      <c r="OD122" s="5">
        <f t="shared" si="168"/>
        <v>0</v>
      </c>
      <c r="OE122" s="5">
        <f t="shared" si="168"/>
        <v>0</v>
      </c>
      <c r="OF122" s="5">
        <f t="shared" si="168"/>
        <v>0</v>
      </c>
      <c r="OG122" s="5">
        <f t="shared" si="168"/>
        <v>0</v>
      </c>
      <c r="OH122" s="5">
        <f t="shared" si="168"/>
        <v>0</v>
      </c>
      <c r="OI122" s="5">
        <f t="shared" si="168"/>
        <v>0</v>
      </c>
      <c r="OJ122" s="5">
        <f t="shared" si="168"/>
        <v>0</v>
      </c>
      <c r="OK122" s="5">
        <f t="shared" si="168"/>
        <v>0</v>
      </c>
      <c r="OL122" s="5">
        <f t="shared" si="168"/>
        <v>0</v>
      </c>
      <c r="OM122" s="5">
        <f t="shared" si="168"/>
        <v>0</v>
      </c>
      <c r="ON122" s="5">
        <f t="shared" si="168"/>
        <v>0</v>
      </c>
      <c r="OO122" s="5">
        <f t="shared" si="168"/>
        <v>0</v>
      </c>
      <c r="OP122" s="5">
        <f t="shared" si="168"/>
        <v>0</v>
      </c>
      <c r="OQ122" s="5">
        <f t="shared" si="168"/>
        <v>0</v>
      </c>
      <c r="OR122" s="5">
        <f t="shared" si="168"/>
        <v>0</v>
      </c>
      <c r="OS122" s="5">
        <f t="shared" si="168"/>
        <v>0</v>
      </c>
      <c r="OT122" s="5">
        <f t="shared" si="168"/>
        <v>0</v>
      </c>
      <c r="OU122" s="5">
        <f t="shared" si="168"/>
        <v>0</v>
      </c>
      <c r="OV122" s="5">
        <f t="shared" si="168"/>
        <v>0</v>
      </c>
      <c r="OW122" s="5">
        <f t="shared" si="168"/>
        <v>0</v>
      </c>
      <c r="OX122" s="5">
        <f t="shared" si="168"/>
        <v>0</v>
      </c>
      <c r="OY122" s="5">
        <f t="shared" si="168"/>
        <v>0</v>
      </c>
      <c r="OZ122" s="5">
        <f t="shared" si="168"/>
        <v>0</v>
      </c>
      <c r="PA122" s="5">
        <f t="shared" si="168"/>
        <v>0</v>
      </c>
      <c r="PB122" s="5">
        <f t="shared" si="168"/>
        <v>0</v>
      </c>
      <c r="PC122" s="5">
        <f t="shared" si="168"/>
        <v>0</v>
      </c>
      <c r="PD122" s="5">
        <f t="shared" si="168"/>
        <v>0</v>
      </c>
      <c r="PE122" s="5">
        <f t="shared" si="168"/>
        <v>0</v>
      </c>
      <c r="PF122" s="5">
        <f t="shared" si="168"/>
        <v>0</v>
      </c>
    </row>
    <row r="123" spans="1:422" hidden="1">
      <c r="A123" s="6"/>
      <c r="C123" s="18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</row>
    <row r="124" spans="1:422" hidden="1">
      <c r="A124" s="6" t="s">
        <v>52</v>
      </c>
      <c r="B124" s="5">
        <f>E22</f>
        <v>100000</v>
      </c>
      <c r="C124" s="18">
        <f t="shared" ref="C124:BN124" si="169">IF(C95&lt;=$B$92, B124*(1+$E$26/12), 0)</f>
        <v>100833.33333333333</v>
      </c>
      <c r="D124" s="5">
        <f t="shared" si="169"/>
        <v>101673.61111111111</v>
      </c>
      <c r="E124" s="5">
        <f t="shared" si="169"/>
        <v>102520.89120370369</v>
      </c>
      <c r="F124" s="5">
        <f t="shared" si="169"/>
        <v>103375.23196373455</v>
      </c>
      <c r="G124" s="5">
        <f t="shared" si="169"/>
        <v>104236.692230099</v>
      </c>
      <c r="H124" s="5">
        <f t="shared" si="169"/>
        <v>105105.33133201649</v>
      </c>
      <c r="I124" s="5">
        <f t="shared" si="169"/>
        <v>105981.20909311662</v>
      </c>
      <c r="J124" s="5">
        <f t="shared" si="169"/>
        <v>106864.38583555925</v>
      </c>
      <c r="K124" s="5">
        <f t="shared" si="169"/>
        <v>107754.9223841889</v>
      </c>
      <c r="L124" s="5">
        <f t="shared" si="169"/>
        <v>108652.88007072381</v>
      </c>
      <c r="M124" s="5">
        <f t="shared" si="169"/>
        <v>109558.32073797984</v>
      </c>
      <c r="N124" s="5">
        <f t="shared" si="169"/>
        <v>110471.30674412967</v>
      </c>
      <c r="O124" s="5">
        <f t="shared" si="169"/>
        <v>111391.90096699742</v>
      </c>
      <c r="P124" s="5">
        <f t="shared" si="169"/>
        <v>112320.16680838905</v>
      </c>
      <c r="Q124" s="5">
        <f t="shared" si="169"/>
        <v>113256.16819845897</v>
      </c>
      <c r="R124" s="5">
        <f t="shared" si="169"/>
        <v>114199.96960011279</v>
      </c>
      <c r="S124" s="5">
        <f t="shared" si="169"/>
        <v>115151.63601344706</v>
      </c>
      <c r="T124" s="5">
        <f t="shared" si="169"/>
        <v>116111.23298022579</v>
      </c>
      <c r="U124" s="5">
        <f t="shared" si="169"/>
        <v>117078.82658839434</v>
      </c>
      <c r="V124" s="5">
        <f t="shared" si="169"/>
        <v>118054.48347663095</v>
      </c>
      <c r="W124" s="5">
        <f t="shared" si="169"/>
        <v>119038.27083893621</v>
      </c>
      <c r="X124" s="5">
        <f t="shared" si="169"/>
        <v>120030.25642926067</v>
      </c>
      <c r="Y124" s="5">
        <f t="shared" si="169"/>
        <v>121030.50856617118</v>
      </c>
      <c r="Z124" s="5">
        <f t="shared" si="169"/>
        <v>122039.09613755593</v>
      </c>
      <c r="AA124" s="5">
        <f t="shared" si="169"/>
        <v>123056.08860536889</v>
      </c>
      <c r="AB124" s="5">
        <f t="shared" si="169"/>
        <v>124081.55601041362</v>
      </c>
      <c r="AC124" s="5">
        <f t="shared" si="169"/>
        <v>125115.56897716707</v>
      </c>
      <c r="AD124" s="5">
        <f t="shared" si="169"/>
        <v>126158.19871864346</v>
      </c>
      <c r="AE124" s="5">
        <f t="shared" si="169"/>
        <v>127209.51704129881</v>
      </c>
      <c r="AF124" s="5">
        <f t="shared" si="169"/>
        <v>128269.59634997629</v>
      </c>
      <c r="AG124" s="5">
        <f t="shared" si="169"/>
        <v>129338.50965289275</v>
      </c>
      <c r="AH124" s="5">
        <f t="shared" si="169"/>
        <v>130416.33056666686</v>
      </c>
      <c r="AI124" s="5">
        <f t="shared" si="169"/>
        <v>131503.13332138909</v>
      </c>
      <c r="AJ124" s="5">
        <f t="shared" si="169"/>
        <v>132598.992765734</v>
      </c>
      <c r="AK124" s="5">
        <f t="shared" si="169"/>
        <v>133703.98437211511</v>
      </c>
      <c r="AL124" s="5">
        <f t="shared" si="169"/>
        <v>134818.18424188273</v>
      </c>
      <c r="AM124" s="5">
        <f t="shared" si="169"/>
        <v>135941.66911056507</v>
      </c>
      <c r="AN124" s="5">
        <f t="shared" si="169"/>
        <v>137074.5163531531</v>
      </c>
      <c r="AO124" s="5">
        <f t="shared" si="169"/>
        <v>138216.80398942938</v>
      </c>
      <c r="AP124" s="5">
        <f t="shared" si="169"/>
        <v>139368.61068934129</v>
      </c>
      <c r="AQ124" s="5">
        <f t="shared" si="169"/>
        <v>140530.01577841913</v>
      </c>
      <c r="AR124" s="5">
        <f t="shared" si="169"/>
        <v>141701.09924323927</v>
      </c>
      <c r="AS124" s="5">
        <f t="shared" si="169"/>
        <v>142881.94173693293</v>
      </c>
      <c r="AT124" s="5">
        <f t="shared" si="169"/>
        <v>144072.6245847407</v>
      </c>
      <c r="AU124" s="5">
        <f t="shared" si="169"/>
        <v>145273.22978961354</v>
      </c>
      <c r="AV124" s="5">
        <f t="shared" si="169"/>
        <v>146483.84003786033</v>
      </c>
      <c r="AW124" s="5">
        <f t="shared" si="169"/>
        <v>147704.5387048425</v>
      </c>
      <c r="AX124" s="5">
        <f t="shared" si="169"/>
        <v>148935.40986071617</v>
      </c>
      <c r="AY124" s="5">
        <f t="shared" si="169"/>
        <v>150176.53827622213</v>
      </c>
      <c r="AZ124" s="5">
        <f t="shared" si="169"/>
        <v>151428.00942852398</v>
      </c>
      <c r="BA124" s="5">
        <f t="shared" si="169"/>
        <v>152689.909507095</v>
      </c>
      <c r="BB124" s="5">
        <f t="shared" si="169"/>
        <v>153962.32541965411</v>
      </c>
      <c r="BC124" s="5">
        <f t="shared" si="169"/>
        <v>155245.34479815123</v>
      </c>
      <c r="BD124" s="5">
        <f t="shared" si="169"/>
        <v>156539.05600480249</v>
      </c>
      <c r="BE124" s="5">
        <f t="shared" si="169"/>
        <v>157843.54813817583</v>
      </c>
      <c r="BF124" s="5">
        <f t="shared" si="169"/>
        <v>159158.9110393273</v>
      </c>
      <c r="BG124" s="5">
        <f t="shared" si="169"/>
        <v>160485.23529798834</v>
      </c>
      <c r="BH124" s="5">
        <f t="shared" si="169"/>
        <v>161822.6122588049</v>
      </c>
      <c r="BI124" s="5">
        <f t="shared" si="169"/>
        <v>163171.13402762829</v>
      </c>
      <c r="BJ124" s="5">
        <f t="shared" si="169"/>
        <v>164530.89347785851</v>
      </c>
      <c r="BK124" s="5">
        <f t="shared" si="169"/>
        <v>165901.98425684066</v>
      </c>
      <c r="BL124" s="5">
        <f t="shared" si="169"/>
        <v>167284.50079231433</v>
      </c>
      <c r="BM124" s="5">
        <f t="shared" si="169"/>
        <v>168678.53829891694</v>
      </c>
      <c r="BN124" s="5">
        <f t="shared" si="169"/>
        <v>170084.19278474126</v>
      </c>
      <c r="BO124" s="5">
        <f t="shared" ref="BO124:DZ124" si="170">IF(BO95&lt;=$B$92, BN124*(1+$E$26/12), 0)</f>
        <v>171501.56105794743</v>
      </c>
      <c r="BP124" s="5">
        <f t="shared" si="170"/>
        <v>172930.74073343031</v>
      </c>
      <c r="BQ124" s="5">
        <f t="shared" si="170"/>
        <v>174371.83023954224</v>
      </c>
      <c r="BR124" s="5">
        <f t="shared" si="170"/>
        <v>175824.92882487175</v>
      </c>
      <c r="BS124" s="5">
        <f t="shared" si="170"/>
        <v>177290.13656507901</v>
      </c>
      <c r="BT124" s="5">
        <f t="shared" si="170"/>
        <v>178767.55436978801</v>
      </c>
      <c r="BU124" s="5">
        <f t="shared" si="170"/>
        <v>180257.28398953623</v>
      </c>
      <c r="BV124" s="5">
        <f t="shared" si="170"/>
        <v>181759.42802278235</v>
      </c>
      <c r="BW124" s="5">
        <f t="shared" si="170"/>
        <v>183274.0899229722</v>
      </c>
      <c r="BX124" s="5">
        <f t="shared" si="170"/>
        <v>184801.37400566362</v>
      </c>
      <c r="BY124" s="5">
        <f t="shared" si="170"/>
        <v>186341.38545571081</v>
      </c>
      <c r="BZ124" s="5">
        <f t="shared" si="170"/>
        <v>187894.23033450841</v>
      </c>
      <c r="CA124" s="5">
        <f t="shared" si="170"/>
        <v>189460.01558729596</v>
      </c>
      <c r="CB124" s="5">
        <f t="shared" si="170"/>
        <v>191038.84905052342</v>
      </c>
      <c r="CC124" s="5">
        <f t="shared" si="170"/>
        <v>192630.83945927778</v>
      </c>
      <c r="CD124" s="5">
        <f t="shared" si="170"/>
        <v>194236.09645477176</v>
      </c>
      <c r="CE124" s="5">
        <f t="shared" si="170"/>
        <v>195854.73059189486</v>
      </c>
      <c r="CF124" s="5">
        <f t="shared" si="170"/>
        <v>197486.85334682729</v>
      </c>
      <c r="CG124" s="5">
        <f t="shared" si="170"/>
        <v>199132.57712471753</v>
      </c>
      <c r="CH124" s="5">
        <f t="shared" si="170"/>
        <v>200792.0152674235</v>
      </c>
      <c r="CI124" s="5">
        <f t="shared" si="170"/>
        <v>202465.28206131869</v>
      </c>
      <c r="CJ124" s="5">
        <f t="shared" si="170"/>
        <v>204152.49274516301</v>
      </c>
      <c r="CK124" s="5">
        <f t="shared" si="170"/>
        <v>205853.76351803937</v>
      </c>
      <c r="CL124" s="5">
        <f t="shared" si="170"/>
        <v>207569.21154735636</v>
      </c>
      <c r="CM124" s="5">
        <f t="shared" si="170"/>
        <v>209298.95497691765</v>
      </c>
      <c r="CN124" s="5">
        <f t="shared" si="170"/>
        <v>211043.11293505863</v>
      </c>
      <c r="CO124" s="5">
        <f t="shared" si="170"/>
        <v>212801.80554285078</v>
      </c>
      <c r="CP124" s="5">
        <f t="shared" si="170"/>
        <v>214575.15392237453</v>
      </c>
      <c r="CQ124" s="5">
        <f t="shared" si="170"/>
        <v>216363.28020506099</v>
      </c>
      <c r="CR124" s="5">
        <f t="shared" si="170"/>
        <v>218166.30754010315</v>
      </c>
      <c r="CS124" s="5">
        <f t="shared" si="170"/>
        <v>219984.36010293735</v>
      </c>
      <c r="CT124" s="5">
        <f t="shared" si="170"/>
        <v>221817.56310379517</v>
      </c>
      <c r="CU124" s="5">
        <f t="shared" si="170"/>
        <v>223666.0427963268</v>
      </c>
      <c r="CV124" s="5">
        <f t="shared" si="170"/>
        <v>225529.92648629617</v>
      </c>
      <c r="CW124" s="5">
        <f t="shared" si="170"/>
        <v>227409.34254034865</v>
      </c>
      <c r="CX124" s="5">
        <f t="shared" si="170"/>
        <v>229304.42039485154</v>
      </c>
      <c r="CY124" s="5">
        <f t="shared" si="170"/>
        <v>231215.29056480862</v>
      </c>
      <c r="CZ124" s="5">
        <f t="shared" si="170"/>
        <v>233142.08465284869</v>
      </c>
      <c r="DA124" s="5">
        <f t="shared" si="170"/>
        <v>235084.93535828908</v>
      </c>
      <c r="DB124" s="5">
        <f t="shared" si="170"/>
        <v>237043.9764862748</v>
      </c>
      <c r="DC124" s="5">
        <f t="shared" si="170"/>
        <v>239019.34295699376</v>
      </c>
      <c r="DD124" s="5">
        <f t="shared" si="170"/>
        <v>241011.1708149687</v>
      </c>
      <c r="DE124" s="5">
        <f t="shared" si="170"/>
        <v>243019.59723842677</v>
      </c>
      <c r="DF124" s="5">
        <f t="shared" si="170"/>
        <v>245044.76054874697</v>
      </c>
      <c r="DG124" s="5">
        <f t="shared" si="170"/>
        <v>247086.80021998653</v>
      </c>
      <c r="DH124" s="5">
        <f t="shared" si="170"/>
        <v>249145.85688848642</v>
      </c>
      <c r="DI124" s="5">
        <f t="shared" si="170"/>
        <v>251222.07236255714</v>
      </c>
      <c r="DJ124" s="5">
        <f t="shared" si="170"/>
        <v>253315.5896322451</v>
      </c>
      <c r="DK124" s="5">
        <f t="shared" si="170"/>
        <v>255426.55287918047</v>
      </c>
      <c r="DL124" s="5">
        <f t="shared" si="170"/>
        <v>257555.10748650695</v>
      </c>
      <c r="DM124" s="5">
        <f t="shared" si="170"/>
        <v>259701.40004889452</v>
      </c>
      <c r="DN124" s="5">
        <f t="shared" si="170"/>
        <v>261865.57838263529</v>
      </c>
      <c r="DO124" s="5">
        <f t="shared" si="170"/>
        <v>264047.7915358239</v>
      </c>
      <c r="DP124" s="5">
        <f t="shared" si="170"/>
        <v>266248.18979862245</v>
      </c>
      <c r="DQ124" s="5">
        <f t="shared" si="170"/>
        <v>268466.92471361096</v>
      </c>
      <c r="DR124" s="5">
        <f t="shared" si="170"/>
        <v>270704.14908622438</v>
      </c>
      <c r="DS124" s="5">
        <f t="shared" si="170"/>
        <v>272960.01699527627</v>
      </c>
      <c r="DT124" s="5">
        <f t="shared" si="170"/>
        <v>275234.68380357022</v>
      </c>
      <c r="DU124" s="5">
        <f t="shared" si="170"/>
        <v>277528.30616859999</v>
      </c>
      <c r="DV124" s="5">
        <f t="shared" si="170"/>
        <v>279841.04205333831</v>
      </c>
      <c r="DW124" s="5">
        <f t="shared" si="170"/>
        <v>282173.05073711614</v>
      </c>
      <c r="DX124" s="5">
        <f t="shared" si="170"/>
        <v>284524.49282659212</v>
      </c>
      <c r="DY124" s="5">
        <f t="shared" si="170"/>
        <v>286895.5302668137</v>
      </c>
      <c r="DZ124" s="5">
        <f t="shared" si="170"/>
        <v>289286.3263523705</v>
      </c>
      <c r="EA124" s="5">
        <f t="shared" ref="EA124:GL124" si="171">IF(EA95&lt;=$B$92, DZ124*(1+$E$26/12), 0)</f>
        <v>291697.04573864024</v>
      </c>
      <c r="EB124" s="5">
        <f t="shared" si="171"/>
        <v>294127.85445312888</v>
      </c>
      <c r="EC124" s="5">
        <f t="shared" si="171"/>
        <v>296578.91990690492</v>
      </c>
      <c r="ED124" s="5">
        <f t="shared" si="171"/>
        <v>299050.41090612911</v>
      </c>
      <c r="EE124" s="5">
        <f t="shared" si="171"/>
        <v>301542.49766368017</v>
      </c>
      <c r="EF124" s="5">
        <f t="shared" si="171"/>
        <v>304055.3518108775</v>
      </c>
      <c r="EG124" s="5">
        <f t="shared" si="171"/>
        <v>306589.14640930149</v>
      </c>
      <c r="EH124" s="5">
        <f t="shared" si="171"/>
        <v>309144.05596271233</v>
      </c>
      <c r="EI124" s="5">
        <f t="shared" si="171"/>
        <v>311720.25642906828</v>
      </c>
      <c r="EJ124" s="5">
        <f t="shared" si="171"/>
        <v>314317.92523264384</v>
      </c>
      <c r="EK124" s="5">
        <f t="shared" si="171"/>
        <v>316937.24127624917</v>
      </c>
      <c r="EL124" s="5">
        <f t="shared" si="171"/>
        <v>319578.38495355123</v>
      </c>
      <c r="EM124" s="5">
        <f t="shared" si="171"/>
        <v>322241.5381614975</v>
      </c>
      <c r="EN124" s="5">
        <f t="shared" si="171"/>
        <v>324926.88431284332</v>
      </c>
      <c r="EO124" s="5">
        <f t="shared" si="171"/>
        <v>327634.60834878369</v>
      </c>
      <c r="EP124" s="5">
        <f t="shared" si="171"/>
        <v>330364.89675169019</v>
      </c>
      <c r="EQ124" s="5">
        <f t="shared" si="171"/>
        <v>333117.93755795428</v>
      </c>
      <c r="ER124" s="5">
        <f t="shared" si="171"/>
        <v>335893.92037093721</v>
      </c>
      <c r="ES124" s="5">
        <f t="shared" si="171"/>
        <v>338693.03637402836</v>
      </c>
      <c r="ET124" s="5">
        <f t="shared" si="171"/>
        <v>341515.47834381193</v>
      </c>
      <c r="EU124" s="5">
        <f t="shared" si="171"/>
        <v>344361.4406633437</v>
      </c>
      <c r="EV124" s="5">
        <f t="shared" si="171"/>
        <v>347231.11933553824</v>
      </c>
      <c r="EW124" s="5">
        <f t="shared" si="171"/>
        <v>350124.71199666773</v>
      </c>
      <c r="EX124" s="5">
        <f t="shared" si="171"/>
        <v>353042.41792997328</v>
      </c>
      <c r="EY124" s="5">
        <f t="shared" si="171"/>
        <v>355984.43807938969</v>
      </c>
      <c r="EZ124" s="5">
        <f t="shared" si="171"/>
        <v>358950.97506338457</v>
      </c>
      <c r="FA124" s="5">
        <f t="shared" si="171"/>
        <v>361942.23318891274</v>
      </c>
      <c r="FB124" s="5">
        <f t="shared" si="171"/>
        <v>364958.41846548702</v>
      </c>
      <c r="FC124" s="5">
        <f t="shared" si="171"/>
        <v>367999.73861936608</v>
      </c>
      <c r="FD124" s="5">
        <f t="shared" si="171"/>
        <v>371066.40310786077</v>
      </c>
      <c r="FE124" s="5">
        <f t="shared" si="171"/>
        <v>374158.6231337596</v>
      </c>
      <c r="FF124" s="5">
        <f t="shared" si="171"/>
        <v>377276.61165987427</v>
      </c>
      <c r="FG124" s="5">
        <f t="shared" si="171"/>
        <v>380420.58342370653</v>
      </c>
      <c r="FH124" s="5">
        <f t="shared" si="171"/>
        <v>383590.75495223742</v>
      </c>
      <c r="FI124" s="5">
        <f t="shared" si="171"/>
        <v>386787.34457683936</v>
      </c>
      <c r="FJ124" s="5">
        <f t="shared" si="171"/>
        <v>390010.572448313</v>
      </c>
      <c r="FK124" s="5">
        <f t="shared" si="171"/>
        <v>393260.66055204894</v>
      </c>
      <c r="FL124" s="5">
        <f t="shared" si="171"/>
        <v>396537.83272331598</v>
      </c>
      <c r="FM124" s="5">
        <f t="shared" si="171"/>
        <v>399842.31466267694</v>
      </c>
      <c r="FN124" s="5">
        <f t="shared" si="171"/>
        <v>403174.33395153255</v>
      </c>
      <c r="FO124" s="5">
        <f t="shared" si="171"/>
        <v>406534.12006779533</v>
      </c>
      <c r="FP124" s="5">
        <f t="shared" si="171"/>
        <v>409921.90440169361</v>
      </c>
      <c r="FQ124" s="5">
        <f t="shared" si="171"/>
        <v>413337.9202717077</v>
      </c>
      <c r="FR124" s="5">
        <f t="shared" si="171"/>
        <v>416782.4029406386</v>
      </c>
      <c r="FS124" s="5">
        <f t="shared" si="171"/>
        <v>420255.58963181055</v>
      </c>
      <c r="FT124" s="5">
        <f t="shared" si="171"/>
        <v>423757.71954540897</v>
      </c>
      <c r="FU124" s="5">
        <f t="shared" si="171"/>
        <v>427289.03387495404</v>
      </c>
      <c r="FV124" s="5">
        <f t="shared" si="171"/>
        <v>430849.775823912</v>
      </c>
      <c r="FW124" s="5">
        <f t="shared" si="171"/>
        <v>434440.19062244461</v>
      </c>
      <c r="FX124" s="5">
        <f t="shared" si="171"/>
        <v>438060.52554429829</v>
      </c>
      <c r="FY124" s="5">
        <f t="shared" si="171"/>
        <v>441711.02992383408</v>
      </c>
      <c r="FZ124" s="5">
        <f t="shared" si="171"/>
        <v>445391.95517319936</v>
      </c>
      <c r="GA124" s="5">
        <f t="shared" si="171"/>
        <v>449103.55479964265</v>
      </c>
      <c r="GB124" s="5">
        <f t="shared" si="171"/>
        <v>452846.08442297298</v>
      </c>
      <c r="GC124" s="5">
        <f t="shared" si="171"/>
        <v>456619.8017931644</v>
      </c>
      <c r="GD124" s="5">
        <f t="shared" si="171"/>
        <v>460424.96680810745</v>
      </c>
      <c r="GE124" s="5">
        <f t="shared" si="171"/>
        <v>464261.84153150831</v>
      </c>
      <c r="GF124" s="5">
        <f t="shared" si="171"/>
        <v>468130.69021093752</v>
      </c>
      <c r="GG124" s="5">
        <f t="shared" si="171"/>
        <v>472031.77929602866</v>
      </c>
      <c r="GH124" s="5">
        <f t="shared" si="171"/>
        <v>475965.37745682889</v>
      </c>
      <c r="GI124" s="5">
        <f t="shared" si="171"/>
        <v>479931.75560230244</v>
      </c>
      <c r="GJ124" s="5">
        <f t="shared" si="171"/>
        <v>483931.18689898826</v>
      </c>
      <c r="GK124" s="5">
        <f t="shared" si="171"/>
        <v>487963.94678981317</v>
      </c>
      <c r="GL124" s="5">
        <f t="shared" si="171"/>
        <v>492030.31301306159</v>
      </c>
      <c r="GM124" s="5">
        <f t="shared" ref="GM124:IX124" si="172">IF(GM95&lt;=$B$92, GL124*(1+$E$26/12), 0)</f>
        <v>496130.56562150375</v>
      </c>
      <c r="GN124" s="5">
        <f t="shared" si="172"/>
        <v>500264.98700168292</v>
      </c>
      <c r="GO124" s="5">
        <f t="shared" si="172"/>
        <v>504433.86189336359</v>
      </c>
      <c r="GP124" s="5">
        <f t="shared" si="172"/>
        <v>508637.4774091416</v>
      </c>
      <c r="GQ124" s="5">
        <f t="shared" si="172"/>
        <v>512876.12305421778</v>
      </c>
      <c r="GR124" s="5">
        <f t="shared" si="172"/>
        <v>517150.09074633627</v>
      </c>
      <c r="GS124" s="5">
        <f t="shared" si="172"/>
        <v>521459.67483588908</v>
      </c>
      <c r="GT124" s="5">
        <f t="shared" si="172"/>
        <v>525805.17212618818</v>
      </c>
      <c r="GU124" s="5">
        <f t="shared" si="172"/>
        <v>530186.88189390639</v>
      </c>
      <c r="GV124" s="5">
        <f t="shared" si="172"/>
        <v>534605.10590968898</v>
      </c>
      <c r="GW124" s="5">
        <f t="shared" si="172"/>
        <v>539060.14845893637</v>
      </c>
      <c r="GX124" s="5">
        <f t="shared" si="172"/>
        <v>543552.31636276084</v>
      </c>
      <c r="GY124" s="5">
        <f t="shared" si="172"/>
        <v>548081.91899911722</v>
      </c>
      <c r="GZ124" s="5">
        <f t="shared" si="172"/>
        <v>552649.26832410984</v>
      </c>
      <c r="HA124" s="5">
        <f t="shared" si="172"/>
        <v>557254.67889347742</v>
      </c>
      <c r="HB124" s="5">
        <f t="shared" si="172"/>
        <v>561898.46788425639</v>
      </c>
      <c r="HC124" s="5">
        <f t="shared" si="172"/>
        <v>566580.95511662518</v>
      </c>
      <c r="HD124" s="5">
        <f t="shared" si="172"/>
        <v>571302.46307593037</v>
      </c>
      <c r="HE124" s="5">
        <f t="shared" si="172"/>
        <v>576063.3169348964</v>
      </c>
      <c r="HF124" s="5">
        <f t="shared" si="172"/>
        <v>580863.84457602049</v>
      </c>
      <c r="HG124" s="5">
        <f t="shared" si="172"/>
        <v>585704.37661415397</v>
      </c>
      <c r="HH124" s="5">
        <f t="shared" si="172"/>
        <v>590585.24641927192</v>
      </c>
      <c r="HI124" s="5">
        <f t="shared" si="172"/>
        <v>595506.79013943253</v>
      </c>
      <c r="HJ124" s="5">
        <f t="shared" si="172"/>
        <v>600469.34672392777</v>
      </c>
      <c r="HK124" s="5">
        <f t="shared" si="172"/>
        <v>605473.2579466271</v>
      </c>
      <c r="HL124" s="5">
        <f t="shared" si="172"/>
        <v>610518.86842951563</v>
      </c>
      <c r="HM124" s="5">
        <f t="shared" si="172"/>
        <v>615606.52566642826</v>
      </c>
      <c r="HN124" s="5">
        <f t="shared" si="172"/>
        <v>620736.58004698181</v>
      </c>
      <c r="HO124" s="5">
        <f t="shared" si="172"/>
        <v>625909.38488070667</v>
      </c>
      <c r="HP124" s="5">
        <f t="shared" si="172"/>
        <v>631125.2964213792</v>
      </c>
      <c r="HQ124" s="5">
        <f t="shared" si="172"/>
        <v>636384.67389155738</v>
      </c>
      <c r="HR124" s="5">
        <f t="shared" si="172"/>
        <v>641687.87950732035</v>
      </c>
      <c r="HS124" s="5">
        <f t="shared" si="172"/>
        <v>647035.27850321471</v>
      </c>
      <c r="HT124" s="5">
        <f t="shared" si="172"/>
        <v>652427.23915740813</v>
      </c>
      <c r="HU124" s="5">
        <f t="shared" si="172"/>
        <v>657864.13281705312</v>
      </c>
      <c r="HV124" s="5">
        <f t="shared" si="172"/>
        <v>663346.33392386185</v>
      </c>
      <c r="HW124" s="5">
        <f t="shared" si="172"/>
        <v>668874.22003989399</v>
      </c>
      <c r="HX124" s="5">
        <f t="shared" si="172"/>
        <v>674448.17187355971</v>
      </c>
      <c r="HY124" s="5">
        <f t="shared" si="172"/>
        <v>680068.57330583932</v>
      </c>
      <c r="HZ124" s="5">
        <f t="shared" si="172"/>
        <v>685735.81141672132</v>
      </c>
      <c r="IA124" s="5">
        <f t="shared" si="172"/>
        <v>691450.27651186066</v>
      </c>
      <c r="IB124" s="5">
        <f t="shared" si="172"/>
        <v>697212.36214945943</v>
      </c>
      <c r="IC124" s="5">
        <f t="shared" si="172"/>
        <v>703022.46516737156</v>
      </c>
      <c r="ID124" s="5">
        <f t="shared" si="172"/>
        <v>708880.98571043299</v>
      </c>
      <c r="IE124" s="5">
        <f t="shared" si="172"/>
        <v>714788.32725801994</v>
      </c>
      <c r="IF124" s="5">
        <f t="shared" si="172"/>
        <v>720744.89665183681</v>
      </c>
      <c r="IG124" s="5">
        <f t="shared" si="172"/>
        <v>726751.10412393545</v>
      </c>
      <c r="IH124" s="5">
        <f t="shared" si="172"/>
        <v>732807.36332496826</v>
      </c>
      <c r="II124" s="5">
        <f t="shared" si="172"/>
        <v>738914.09135267627</v>
      </c>
      <c r="IJ124" s="5">
        <f t="shared" si="172"/>
        <v>745071.70878061524</v>
      </c>
      <c r="IK124" s="5">
        <f t="shared" si="172"/>
        <v>751280.63968712033</v>
      </c>
      <c r="IL124" s="5">
        <f t="shared" si="172"/>
        <v>757541.311684513</v>
      </c>
      <c r="IM124" s="5">
        <f t="shared" si="172"/>
        <v>763854.15594855056</v>
      </c>
      <c r="IN124" s="5">
        <f t="shared" si="172"/>
        <v>770219.60724812176</v>
      </c>
      <c r="IO124" s="5">
        <f t="shared" si="172"/>
        <v>776638.10397518938</v>
      </c>
      <c r="IP124" s="5">
        <f t="shared" si="172"/>
        <v>783110.08817498258</v>
      </c>
      <c r="IQ124" s="5">
        <f t="shared" si="172"/>
        <v>789636.00557644072</v>
      </c>
      <c r="IR124" s="5">
        <f t="shared" si="172"/>
        <v>796216.30562291108</v>
      </c>
      <c r="IS124" s="5">
        <f t="shared" si="172"/>
        <v>802851.44150310196</v>
      </c>
      <c r="IT124" s="5">
        <f t="shared" si="172"/>
        <v>809541.8701822944</v>
      </c>
      <c r="IU124" s="5">
        <f t="shared" si="172"/>
        <v>816288.05243381346</v>
      </c>
      <c r="IV124" s="5">
        <f t="shared" si="172"/>
        <v>823090.45287076186</v>
      </c>
      <c r="IW124" s="5">
        <f t="shared" si="172"/>
        <v>829949.53997801815</v>
      </c>
      <c r="IX124" s="5">
        <f t="shared" si="172"/>
        <v>836865.78614450165</v>
      </c>
      <c r="IY124" s="5">
        <f t="shared" ref="IY124:LJ124" si="173">IF(IY95&lt;=$B$92, IX124*(1+$E$26/12), 0)</f>
        <v>843839.66769570578</v>
      </c>
      <c r="IZ124" s="5">
        <f t="shared" si="173"/>
        <v>850871.66492650332</v>
      </c>
      <c r="JA124" s="5">
        <f t="shared" si="173"/>
        <v>857962.26213422418</v>
      </c>
      <c r="JB124" s="5">
        <f t="shared" si="173"/>
        <v>865111.94765200932</v>
      </c>
      <c r="JC124" s="5">
        <f t="shared" si="173"/>
        <v>872321.21388244268</v>
      </c>
      <c r="JD124" s="5">
        <f t="shared" si="173"/>
        <v>879590.55733146297</v>
      </c>
      <c r="JE124" s="5">
        <f t="shared" si="173"/>
        <v>886920.47864255845</v>
      </c>
      <c r="JF124" s="5">
        <f t="shared" si="173"/>
        <v>894311.48263124644</v>
      </c>
      <c r="JG124" s="5">
        <f t="shared" si="173"/>
        <v>901764.07831984013</v>
      </c>
      <c r="JH124" s="5">
        <f t="shared" si="173"/>
        <v>909278.77897250548</v>
      </c>
      <c r="JI124" s="5">
        <f t="shared" si="173"/>
        <v>916856.10213060968</v>
      </c>
      <c r="JJ124" s="5">
        <f t="shared" si="173"/>
        <v>924496.56964836479</v>
      </c>
      <c r="JK124" s="5">
        <f t="shared" si="173"/>
        <v>932200.70772876777</v>
      </c>
      <c r="JL124" s="5">
        <f t="shared" si="173"/>
        <v>939969.04695984081</v>
      </c>
      <c r="JM124" s="5">
        <f t="shared" si="173"/>
        <v>947802.12235117285</v>
      </c>
      <c r="JN124" s="5">
        <f t="shared" si="173"/>
        <v>955700.47337076592</v>
      </c>
      <c r="JO124" s="5">
        <f t="shared" si="173"/>
        <v>963664.64398218889</v>
      </c>
      <c r="JP124" s="5">
        <f t="shared" si="173"/>
        <v>971695.18268204038</v>
      </c>
      <c r="JQ124" s="5">
        <f t="shared" si="173"/>
        <v>979792.64253772399</v>
      </c>
      <c r="JR124" s="5">
        <f t="shared" si="173"/>
        <v>987957.58122553828</v>
      </c>
      <c r="JS124" s="5">
        <f t="shared" si="173"/>
        <v>996190.56106908445</v>
      </c>
      <c r="JT124" s="5">
        <f t="shared" si="173"/>
        <v>1004492.1490779935</v>
      </c>
      <c r="JU124" s="5">
        <f t="shared" si="173"/>
        <v>1012862.9169869768</v>
      </c>
      <c r="JV124" s="5">
        <f t="shared" si="173"/>
        <v>1021303.4412952015</v>
      </c>
      <c r="JW124" s="5">
        <f t="shared" si="173"/>
        <v>1029814.3033059948</v>
      </c>
      <c r="JX124" s="5">
        <f t="shared" si="173"/>
        <v>1038396.0891668781</v>
      </c>
      <c r="JY124" s="5">
        <f t="shared" si="173"/>
        <v>1047049.3899099354</v>
      </c>
      <c r="JZ124" s="5">
        <f t="shared" si="173"/>
        <v>1055774.8014925183</v>
      </c>
      <c r="KA124" s="5">
        <f t="shared" si="173"/>
        <v>1064572.9248382892</v>
      </c>
      <c r="KB124" s="5">
        <f t="shared" si="173"/>
        <v>1073444.3658786083</v>
      </c>
      <c r="KC124" s="5">
        <f t="shared" si="173"/>
        <v>1082389.7355942633</v>
      </c>
      <c r="KD124" s="5">
        <f t="shared" si="173"/>
        <v>1091409.6500575489</v>
      </c>
      <c r="KE124" s="5">
        <f t="shared" si="173"/>
        <v>1100504.7304746951</v>
      </c>
      <c r="KF124" s="5">
        <f t="shared" si="173"/>
        <v>1109675.6032286508</v>
      </c>
      <c r="KG124" s="5">
        <f t="shared" si="173"/>
        <v>1118922.8999222228</v>
      </c>
      <c r="KH124" s="5">
        <f t="shared" si="173"/>
        <v>1128247.2574215746</v>
      </c>
      <c r="KI124" s="5">
        <f t="shared" si="173"/>
        <v>1137649.3179000877</v>
      </c>
      <c r="KJ124" s="5">
        <f t="shared" si="173"/>
        <v>1147129.7288825884</v>
      </c>
      <c r="KK124" s="5">
        <f t="shared" si="173"/>
        <v>1156689.1432899432</v>
      </c>
      <c r="KL124" s="5">
        <f t="shared" si="173"/>
        <v>1166328.2194840261</v>
      </c>
      <c r="KM124" s="5">
        <f t="shared" si="173"/>
        <v>1176047.6213130597</v>
      </c>
      <c r="KN124" s="5">
        <f t="shared" si="173"/>
        <v>1185848.0181573352</v>
      </c>
      <c r="KO124" s="5">
        <f t="shared" si="173"/>
        <v>1195730.0849753129</v>
      </c>
      <c r="KP124" s="5">
        <f t="shared" si="173"/>
        <v>1205694.5023501071</v>
      </c>
      <c r="KQ124" s="5">
        <f t="shared" si="173"/>
        <v>1215741.956536358</v>
      </c>
      <c r="KR124" s="5">
        <f t="shared" si="173"/>
        <v>1225873.1395074942</v>
      </c>
      <c r="KS124" s="5">
        <f t="shared" si="173"/>
        <v>1236088.7490033899</v>
      </c>
      <c r="KT124" s="5">
        <f t="shared" si="173"/>
        <v>1246389.488578418</v>
      </c>
      <c r="KU124" s="5">
        <f t="shared" si="173"/>
        <v>1256776.0676499049</v>
      </c>
      <c r="KV124" s="5">
        <f t="shared" si="173"/>
        <v>1267249.2015469873</v>
      </c>
      <c r="KW124" s="5">
        <f t="shared" si="173"/>
        <v>1277809.6115598788</v>
      </c>
      <c r="KX124" s="5">
        <f t="shared" si="173"/>
        <v>1288458.0249895444</v>
      </c>
      <c r="KY124" s="5">
        <f t="shared" si="173"/>
        <v>1299195.1751977906</v>
      </c>
      <c r="KZ124" s="5">
        <f t="shared" si="173"/>
        <v>1310021.8016577722</v>
      </c>
      <c r="LA124" s="5">
        <f t="shared" si="173"/>
        <v>1320938.6500049203</v>
      </c>
      <c r="LB124" s="5">
        <f t="shared" si="173"/>
        <v>1331946.4720882946</v>
      </c>
      <c r="LC124" s="5">
        <f t="shared" si="173"/>
        <v>1343046.0260223637</v>
      </c>
      <c r="LD124" s="5">
        <f t="shared" si="173"/>
        <v>1354238.0762392166</v>
      </c>
      <c r="LE124" s="5">
        <f t="shared" si="173"/>
        <v>1365523.3935412101</v>
      </c>
      <c r="LF124" s="5">
        <f t="shared" si="173"/>
        <v>1376902.7551540534</v>
      </c>
      <c r="LG124" s="5">
        <f t="shared" si="173"/>
        <v>1388376.9447803372</v>
      </c>
      <c r="LH124" s="5">
        <f t="shared" si="173"/>
        <v>1399946.7526535066</v>
      </c>
      <c r="LI124" s="5">
        <f t="shared" si="173"/>
        <v>1411612.9755922859</v>
      </c>
      <c r="LJ124" s="5">
        <f t="shared" si="173"/>
        <v>1423376.4170555549</v>
      </c>
      <c r="LK124" s="5">
        <f t="shared" ref="LK124:NV124" si="174">IF(LK95&lt;=$B$92, LJ124*(1+$E$26/12), 0)</f>
        <v>1435237.8871976845</v>
      </c>
      <c r="LL124" s="5">
        <f t="shared" si="174"/>
        <v>1447198.2029243319</v>
      </c>
      <c r="LM124" s="5">
        <f t="shared" si="174"/>
        <v>1459258.1879487012</v>
      </c>
      <c r="LN124" s="5">
        <f t="shared" si="174"/>
        <v>1471418.6728482738</v>
      </c>
      <c r="LO124" s="5">
        <f t="shared" si="174"/>
        <v>1483680.4951220094</v>
      </c>
      <c r="LP124" s="5">
        <f t="shared" si="174"/>
        <v>1496044.4992480262</v>
      </c>
      <c r="LQ124" s="5">
        <f t="shared" si="174"/>
        <v>1508511.5367417596</v>
      </c>
      <c r="LR124" s="5">
        <f t="shared" si="174"/>
        <v>1521082.4662146075</v>
      </c>
      <c r="LS124" s="5">
        <f t="shared" si="174"/>
        <v>1533758.1534330626</v>
      </c>
      <c r="LT124" s="5">
        <f t="shared" si="174"/>
        <v>1546539.4713783381</v>
      </c>
      <c r="LU124" s="5">
        <f t="shared" si="174"/>
        <v>1559427.3003064909</v>
      </c>
      <c r="LV124" s="5">
        <f t="shared" si="174"/>
        <v>1572422.5278090448</v>
      </c>
      <c r="LW124" s="5">
        <f t="shared" si="174"/>
        <v>1585526.0488741202</v>
      </c>
      <c r="LX124" s="5">
        <f t="shared" si="174"/>
        <v>1598738.7659480711</v>
      </c>
      <c r="LY124" s="5">
        <f t="shared" si="174"/>
        <v>1612061.5889976383</v>
      </c>
      <c r="LZ124" s="5">
        <f t="shared" si="174"/>
        <v>1625495.4355726186</v>
      </c>
      <c r="MA124" s="5">
        <f t="shared" si="174"/>
        <v>1639041.2308690571</v>
      </c>
      <c r="MB124" s="5">
        <f t="shared" si="174"/>
        <v>1652699.9077929659</v>
      </c>
      <c r="MC124" s="5">
        <f t="shared" si="174"/>
        <v>1666472.4070245738</v>
      </c>
      <c r="MD124" s="5">
        <f t="shared" si="174"/>
        <v>1680359.6770831118</v>
      </c>
      <c r="ME124" s="5">
        <f t="shared" si="174"/>
        <v>1694362.6743921377</v>
      </c>
      <c r="MF124" s="5">
        <f t="shared" si="174"/>
        <v>1708482.3633454056</v>
      </c>
      <c r="MG124" s="5">
        <f t="shared" si="174"/>
        <v>1722719.7163732839</v>
      </c>
      <c r="MH124" s="5">
        <f t="shared" si="174"/>
        <v>1737075.7140097278</v>
      </c>
      <c r="MI124" s="5">
        <f t="shared" si="174"/>
        <v>1751551.3449598087</v>
      </c>
      <c r="MJ124" s="5">
        <f t="shared" si="174"/>
        <v>1766147.606167807</v>
      </c>
      <c r="MK124" s="5">
        <f t="shared" si="174"/>
        <v>1780865.502885872</v>
      </c>
      <c r="ML124" s="5">
        <f t="shared" si="174"/>
        <v>1795706.0487432543</v>
      </c>
      <c r="MM124" s="5">
        <f t="shared" si="174"/>
        <v>1810670.2658161146</v>
      </c>
      <c r="MN124" s="5">
        <f t="shared" si="174"/>
        <v>1825759.1846979156</v>
      </c>
      <c r="MO124" s="5">
        <f t="shared" si="174"/>
        <v>1840973.8445703981</v>
      </c>
      <c r="MP124" s="5">
        <f t="shared" si="174"/>
        <v>1856315.2932751514</v>
      </c>
      <c r="MQ124" s="5">
        <f t="shared" si="174"/>
        <v>1871784.5873857776</v>
      </c>
      <c r="MR124" s="5">
        <f t="shared" si="174"/>
        <v>1887382.7922806591</v>
      </c>
      <c r="MS124" s="5">
        <f t="shared" si="174"/>
        <v>1903110.9822163312</v>
      </c>
      <c r="MT124" s="5">
        <f t="shared" si="174"/>
        <v>1918970.2404014673</v>
      </c>
      <c r="MU124" s="5">
        <f t="shared" si="174"/>
        <v>1934961.6590714795</v>
      </c>
      <c r="MV124" s="5">
        <f t="shared" si="174"/>
        <v>1951086.3395637418</v>
      </c>
      <c r="MW124" s="5">
        <f t="shared" si="174"/>
        <v>1967345.3923934395</v>
      </c>
      <c r="MX124" s="5">
        <f t="shared" si="174"/>
        <v>1983739.9373300516</v>
      </c>
      <c r="MY124" s="5">
        <f t="shared" si="174"/>
        <v>0</v>
      </c>
      <c r="MZ124" s="5">
        <f t="shared" si="174"/>
        <v>0</v>
      </c>
      <c r="NA124" s="5">
        <f t="shared" si="174"/>
        <v>0</v>
      </c>
      <c r="NB124" s="5">
        <f t="shared" si="174"/>
        <v>0</v>
      </c>
      <c r="NC124" s="5">
        <f t="shared" si="174"/>
        <v>0</v>
      </c>
      <c r="ND124" s="5">
        <f t="shared" si="174"/>
        <v>0</v>
      </c>
      <c r="NE124" s="5">
        <f t="shared" si="174"/>
        <v>0</v>
      </c>
      <c r="NF124" s="5">
        <f t="shared" si="174"/>
        <v>0</v>
      </c>
      <c r="NG124" s="5">
        <f t="shared" si="174"/>
        <v>0</v>
      </c>
      <c r="NH124" s="5">
        <f t="shared" si="174"/>
        <v>0</v>
      </c>
      <c r="NI124" s="5">
        <f t="shared" si="174"/>
        <v>0</v>
      </c>
      <c r="NJ124" s="5">
        <f t="shared" si="174"/>
        <v>0</v>
      </c>
      <c r="NK124" s="5">
        <f t="shared" si="174"/>
        <v>0</v>
      </c>
      <c r="NL124" s="5">
        <f t="shared" si="174"/>
        <v>0</v>
      </c>
      <c r="NM124" s="5">
        <f t="shared" si="174"/>
        <v>0</v>
      </c>
      <c r="NN124" s="5">
        <f t="shared" si="174"/>
        <v>0</v>
      </c>
      <c r="NO124" s="5">
        <f t="shared" si="174"/>
        <v>0</v>
      </c>
      <c r="NP124" s="5">
        <f t="shared" si="174"/>
        <v>0</v>
      </c>
      <c r="NQ124" s="5">
        <f t="shared" si="174"/>
        <v>0</v>
      </c>
      <c r="NR124" s="5">
        <f t="shared" si="174"/>
        <v>0</v>
      </c>
      <c r="NS124" s="5">
        <f t="shared" si="174"/>
        <v>0</v>
      </c>
      <c r="NT124" s="5">
        <f t="shared" si="174"/>
        <v>0</v>
      </c>
      <c r="NU124" s="5">
        <f t="shared" si="174"/>
        <v>0</v>
      </c>
      <c r="NV124" s="5">
        <f t="shared" si="174"/>
        <v>0</v>
      </c>
      <c r="NW124" s="5">
        <f t="shared" ref="NW124:PF124" si="175">IF(NW95&lt;=$B$92, NV124*(1+$E$26/12), 0)</f>
        <v>0</v>
      </c>
      <c r="NX124" s="5">
        <f t="shared" si="175"/>
        <v>0</v>
      </c>
      <c r="NY124" s="5">
        <f t="shared" si="175"/>
        <v>0</v>
      </c>
      <c r="NZ124" s="5">
        <f t="shared" si="175"/>
        <v>0</v>
      </c>
      <c r="OA124" s="5">
        <f t="shared" si="175"/>
        <v>0</v>
      </c>
      <c r="OB124" s="5">
        <f t="shared" si="175"/>
        <v>0</v>
      </c>
      <c r="OC124" s="5">
        <f t="shared" si="175"/>
        <v>0</v>
      </c>
      <c r="OD124" s="5">
        <f t="shared" si="175"/>
        <v>0</v>
      </c>
      <c r="OE124" s="5">
        <f t="shared" si="175"/>
        <v>0</v>
      </c>
      <c r="OF124" s="5">
        <f t="shared" si="175"/>
        <v>0</v>
      </c>
      <c r="OG124" s="5">
        <f t="shared" si="175"/>
        <v>0</v>
      </c>
      <c r="OH124" s="5">
        <f t="shared" si="175"/>
        <v>0</v>
      </c>
      <c r="OI124" s="5">
        <f t="shared" si="175"/>
        <v>0</v>
      </c>
      <c r="OJ124" s="5">
        <f t="shared" si="175"/>
        <v>0</v>
      </c>
      <c r="OK124" s="5">
        <f t="shared" si="175"/>
        <v>0</v>
      </c>
      <c r="OL124" s="5">
        <f t="shared" si="175"/>
        <v>0</v>
      </c>
      <c r="OM124" s="5">
        <f t="shared" si="175"/>
        <v>0</v>
      </c>
      <c r="ON124" s="5">
        <f t="shared" si="175"/>
        <v>0</v>
      </c>
      <c r="OO124" s="5">
        <f t="shared" si="175"/>
        <v>0</v>
      </c>
      <c r="OP124" s="5">
        <f t="shared" si="175"/>
        <v>0</v>
      </c>
      <c r="OQ124" s="5">
        <f t="shared" si="175"/>
        <v>0</v>
      </c>
      <c r="OR124" s="5">
        <f t="shared" si="175"/>
        <v>0</v>
      </c>
      <c r="OS124" s="5">
        <f t="shared" si="175"/>
        <v>0</v>
      </c>
      <c r="OT124" s="5">
        <f t="shared" si="175"/>
        <v>0</v>
      </c>
      <c r="OU124" s="5">
        <f t="shared" si="175"/>
        <v>0</v>
      </c>
      <c r="OV124" s="5">
        <f t="shared" si="175"/>
        <v>0</v>
      </c>
      <c r="OW124" s="5">
        <f t="shared" si="175"/>
        <v>0</v>
      </c>
      <c r="OX124" s="5">
        <f t="shared" si="175"/>
        <v>0</v>
      </c>
      <c r="OY124" s="5">
        <f t="shared" si="175"/>
        <v>0</v>
      </c>
      <c r="OZ124" s="5">
        <f t="shared" si="175"/>
        <v>0</v>
      </c>
      <c r="PA124" s="5">
        <f t="shared" si="175"/>
        <v>0</v>
      </c>
      <c r="PB124" s="5">
        <f t="shared" si="175"/>
        <v>0</v>
      </c>
      <c r="PC124" s="5">
        <f t="shared" si="175"/>
        <v>0</v>
      </c>
      <c r="PD124" s="5">
        <f t="shared" si="175"/>
        <v>0</v>
      </c>
      <c r="PE124" s="5">
        <f t="shared" si="175"/>
        <v>0</v>
      </c>
      <c r="PF124" s="5">
        <f t="shared" si="175"/>
        <v>0</v>
      </c>
    </row>
    <row r="125" spans="1:422" hidden="1">
      <c r="A125" s="6" t="s">
        <v>7</v>
      </c>
      <c r="B125" s="5">
        <f t="shared" ref="B125:B126" si="176">E23</f>
        <v>50000</v>
      </c>
      <c r="C125" s="18">
        <f t="shared" ref="C125:BN125" si="177">IF(C95&lt;=$B$92, B125*(1+$E$26/12), 0)</f>
        <v>50416.666666666664</v>
      </c>
      <c r="D125" s="5">
        <f t="shared" si="177"/>
        <v>50836.805555555555</v>
      </c>
      <c r="E125" s="5">
        <f t="shared" si="177"/>
        <v>51260.445601851847</v>
      </c>
      <c r="F125" s="5">
        <f t="shared" si="177"/>
        <v>51687.615981867275</v>
      </c>
      <c r="G125" s="5">
        <f t="shared" si="177"/>
        <v>52118.346115049499</v>
      </c>
      <c r="H125" s="5">
        <f t="shared" si="177"/>
        <v>52552.665666008244</v>
      </c>
      <c r="I125" s="5">
        <f t="shared" si="177"/>
        <v>52990.604546558308</v>
      </c>
      <c r="J125" s="5">
        <f t="shared" si="177"/>
        <v>53432.192917779626</v>
      </c>
      <c r="K125" s="5">
        <f t="shared" si="177"/>
        <v>53877.461192094452</v>
      </c>
      <c r="L125" s="5">
        <f t="shared" si="177"/>
        <v>54326.440035361906</v>
      </c>
      <c r="M125" s="5">
        <f t="shared" si="177"/>
        <v>54779.16036898992</v>
      </c>
      <c r="N125" s="5">
        <f t="shared" si="177"/>
        <v>55235.653372064837</v>
      </c>
      <c r="O125" s="5">
        <f t="shared" si="177"/>
        <v>55695.950483498709</v>
      </c>
      <c r="P125" s="5">
        <f t="shared" si="177"/>
        <v>56160.083404194527</v>
      </c>
      <c r="Q125" s="5">
        <f t="shared" si="177"/>
        <v>56628.084099229483</v>
      </c>
      <c r="R125" s="5">
        <f t="shared" si="177"/>
        <v>57099.984800056394</v>
      </c>
      <c r="S125" s="5">
        <f t="shared" si="177"/>
        <v>57575.81800672353</v>
      </c>
      <c r="T125" s="5">
        <f t="shared" si="177"/>
        <v>58055.616490112894</v>
      </c>
      <c r="U125" s="5">
        <f t="shared" si="177"/>
        <v>58539.413294197169</v>
      </c>
      <c r="V125" s="5">
        <f t="shared" si="177"/>
        <v>59027.241738315475</v>
      </c>
      <c r="W125" s="5">
        <f t="shared" si="177"/>
        <v>59519.135419468104</v>
      </c>
      <c r="X125" s="5">
        <f t="shared" si="177"/>
        <v>60015.128214630335</v>
      </c>
      <c r="Y125" s="5">
        <f t="shared" si="177"/>
        <v>60515.254283085589</v>
      </c>
      <c r="Z125" s="5">
        <f t="shared" si="177"/>
        <v>61019.548068777964</v>
      </c>
      <c r="AA125" s="5">
        <f t="shared" si="177"/>
        <v>61528.044302684444</v>
      </c>
      <c r="AB125" s="5">
        <f t="shared" si="177"/>
        <v>62040.778005206812</v>
      </c>
      <c r="AC125" s="5">
        <f t="shared" si="177"/>
        <v>62557.784488583537</v>
      </c>
      <c r="AD125" s="5">
        <f t="shared" si="177"/>
        <v>63079.099359321728</v>
      </c>
      <c r="AE125" s="5">
        <f t="shared" si="177"/>
        <v>63604.758520649404</v>
      </c>
      <c r="AF125" s="5">
        <f t="shared" si="177"/>
        <v>64134.798174988144</v>
      </c>
      <c r="AG125" s="5">
        <f t="shared" si="177"/>
        <v>64669.254826446377</v>
      </c>
      <c r="AH125" s="5">
        <f t="shared" si="177"/>
        <v>65208.16528333343</v>
      </c>
      <c r="AI125" s="5">
        <f t="shared" si="177"/>
        <v>65751.566660694545</v>
      </c>
      <c r="AJ125" s="5">
        <f t="shared" si="177"/>
        <v>66299.496382867001</v>
      </c>
      <c r="AK125" s="5">
        <f t="shared" si="177"/>
        <v>66851.992186057556</v>
      </c>
      <c r="AL125" s="5">
        <f t="shared" si="177"/>
        <v>67409.092120941365</v>
      </c>
      <c r="AM125" s="5">
        <f t="shared" si="177"/>
        <v>67970.834555282534</v>
      </c>
      <c r="AN125" s="5">
        <f t="shared" si="177"/>
        <v>68537.25817657655</v>
      </c>
      <c r="AO125" s="5">
        <f t="shared" si="177"/>
        <v>69108.401994714688</v>
      </c>
      <c r="AP125" s="5">
        <f t="shared" si="177"/>
        <v>69684.305344670647</v>
      </c>
      <c r="AQ125" s="5">
        <f t="shared" si="177"/>
        <v>70265.007889209563</v>
      </c>
      <c r="AR125" s="5">
        <f t="shared" si="177"/>
        <v>70850.549621619633</v>
      </c>
      <c r="AS125" s="5">
        <f t="shared" si="177"/>
        <v>71440.970868466466</v>
      </c>
      <c r="AT125" s="5">
        <f t="shared" si="177"/>
        <v>72036.312292370349</v>
      </c>
      <c r="AU125" s="5">
        <f t="shared" si="177"/>
        <v>72636.614894806771</v>
      </c>
      <c r="AV125" s="5">
        <f t="shared" si="177"/>
        <v>73241.920018930163</v>
      </c>
      <c r="AW125" s="5">
        <f t="shared" si="177"/>
        <v>73852.269352421252</v>
      </c>
      <c r="AX125" s="5">
        <f t="shared" si="177"/>
        <v>74467.704930358086</v>
      </c>
      <c r="AY125" s="5">
        <f t="shared" si="177"/>
        <v>75088.269138111064</v>
      </c>
      <c r="AZ125" s="5">
        <f t="shared" si="177"/>
        <v>75714.004714261988</v>
      </c>
      <c r="BA125" s="5">
        <f t="shared" si="177"/>
        <v>76344.954753547499</v>
      </c>
      <c r="BB125" s="5">
        <f t="shared" si="177"/>
        <v>76981.162709827055</v>
      </c>
      <c r="BC125" s="5">
        <f t="shared" si="177"/>
        <v>77622.672399075615</v>
      </c>
      <c r="BD125" s="5">
        <f t="shared" si="177"/>
        <v>78269.528002401246</v>
      </c>
      <c r="BE125" s="5">
        <f t="shared" si="177"/>
        <v>78921.774069087915</v>
      </c>
      <c r="BF125" s="5">
        <f t="shared" si="177"/>
        <v>79579.45551966365</v>
      </c>
      <c r="BG125" s="5">
        <f t="shared" si="177"/>
        <v>80242.617648994172</v>
      </c>
      <c r="BH125" s="5">
        <f t="shared" si="177"/>
        <v>80911.306129402452</v>
      </c>
      <c r="BI125" s="5">
        <f t="shared" si="177"/>
        <v>81585.567013814143</v>
      </c>
      <c r="BJ125" s="5">
        <f t="shared" si="177"/>
        <v>82265.446738929255</v>
      </c>
      <c r="BK125" s="5">
        <f t="shared" si="177"/>
        <v>82950.99212842033</v>
      </c>
      <c r="BL125" s="5">
        <f t="shared" si="177"/>
        <v>83642.250396157164</v>
      </c>
      <c r="BM125" s="5">
        <f t="shared" si="177"/>
        <v>84339.269149458472</v>
      </c>
      <c r="BN125" s="5">
        <f t="shared" si="177"/>
        <v>85042.096392370629</v>
      </c>
      <c r="BO125" s="5">
        <f t="shared" ref="BO125:DZ125" si="178">IF(BO95&lt;=$B$92, BN125*(1+$E$26/12), 0)</f>
        <v>85750.780528973715</v>
      </c>
      <c r="BP125" s="5">
        <f t="shared" si="178"/>
        <v>86465.370366715157</v>
      </c>
      <c r="BQ125" s="5">
        <f t="shared" si="178"/>
        <v>87185.915119771118</v>
      </c>
      <c r="BR125" s="5">
        <f t="shared" si="178"/>
        <v>87912.464412435875</v>
      </c>
      <c r="BS125" s="5">
        <f t="shared" si="178"/>
        <v>88645.068282539505</v>
      </c>
      <c r="BT125" s="5">
        <f t="shared" si="178"/>
        <v>89383.777184894003</v>
      </c>
      <c r="BU125" s="5">
        <f t="shared" si="178"/>
        <v>90128.641994768113</v>
      </c>
      <c r="BV125" s="5">
        <f t="shared" si="178"/>
        <v>90879.714011391174</v>
      </c>
      <c r="BW125" s="5">
        <f t="shared" si="178"/>
        <v>91637.044961486099</v>
      </c>
      <c r="BX125" s="5">
        <f t="shared" si="178"/>
        <v>92400.687002831808</v>
      </c>
      <c r="BY125" s="5">
        <f t="shared" si="178"/>
        <v>93170.692727855407</v>
      </c>
      <c r="BZ125" s="5">
        <f t="shared" si="178"/>
        <v>93947.115167254204</v>
      </c>
      <c r="CA125" s="5">
        <f t="shared" si="178"/>
        <v>94730.007793647979</v>
      </c>
      <c r="CB125" s="5">
        <f t="shared" si="178"/>
        <v>95519.424525261711</v>
      </c>
      <c r="CC125" s="5">
        <f t="shared" si="178"/>
        <v>96315.419729638888</v>
      </c>
      <c r="CD125" s="5">
        <f t="shared" si="178"/>
        <v>97118.04822738588</v>
      </c>
      <c r="CE125" s="5">
        <f t="shared" si="178"/>
        <v>97927.365295947428</v>
      </c>
      <c r="CF125" s="5">
        <f t="shared" si="178"/>
        <v>98743.426673413647</v>
      </c>
      <c r="CG125" s="5">
        <f t="shared" si="178"/>
        <v>99566.288562358764</v>
      </c>
      <c r="CH125" s="5">
        <f t="shared" si="178"/>
        <v>100396.00763371175</v>
      </c>
      <c r="CI125" s="5">
        <f t="shared" si="178"/>
        <v>101232.64103065935</v>
      </c>
      <c r="CJ125" s="5">
        <f t="shared" si="178"/>
        <v>102076.2463725815</v>
      </c>
      <c r="CK125" s="5">
        <f t="shared" si="178"/>
        <v>102926.88175901968</v>
      </c>
      <c r="CL125" s="5">
        <f t="shared" si="178"/>
        <v>103784.60577367818</v>
      </c>
      <c r="CM125" s="5">
        <f t="shared" si="178"/>
        <v>104649.47748845883</v>
      </c>
      <c r="CN125" s="5">
        <f t="shared" si="178"/>
        <v>105521.55646752931</v>
      </c>
      <c r="CO125" s="5">
        <f t="shared" si="178"/>
        <v>106400.90277142539</v>
      </c>
      <c r="CP125" s="5">
        <f t="shared" si="178"/>
        <v>107287.57696118727</v>
      </c>
      <c r="CQ125" s="5">
        <f t="shared" si="178"/>
        <v>108181.64010253049</v>
      </c>
      <c r="CR125" s="5">
        <f t="shared" si="178"/>
        <v>109083.15377005158</v>
      </c>
      <c r="CS125" s="5">
        <f t="shared" si="178"/>
        <v>109992.18005146868</v>
      </c>
      <c r="CT125" s="5">
        <f t="shared" si="178"/>
        <v>110908.78155189758</v>
      </c>
      <c r="CU125" s="5">
        <f t="shared" si="178"/>
        <v>111833.0213981634</v>
      </c>
      <c r="CV125" s="5">
        <f t="shared" si="178"/>
        <v>112764.96324314809</v>
      </c>
      <c r="CW125" s="5">
        <f t="shared" si="178"/>
        <v>113704.67127017432</v>
      </c>
      <c r="CX125" s="5">
        <f t="shared" si="178"/>
        <v>114652.21019742577</v>
      </c>
      <c r="CY125" s="5">
        <f t="shared" si="178"/>
        <v>115607.64528240431</v>
      </c>
      <c r="CZ125" s="5">
        <f t="shared" si="178"/>
        <v>116571.04232642434</v>
      </c>
      <c r="DA125" s="5">
        <f t="shared" si="178"/>
        <v>117542.46767914454</v>
      </c>
      <c r="DB125" s="5">
        <f t="shared" si="178"/>
        <v>118521.9882431374</v>
      </c>
      <c r="DC125" s="5">
        <f t="shared" si="178"/>
        <v>119509.67147849688</v>
      </c>
      <c r="DD125" s="5">
        <f t="shared" si="178"/>
        <v>120505.58540748435</v>
      </c>
      <c r="DE125" s="5">
        <f t="shared" si="178"/>
        <v>121509.79861921338</v>
      </c>
      <c r="DF125" s="5">
        <f t="shared" si="178"/>
        <v>122522.38027437349</v>
      </c>
      <c r="DG125" s="5">
        <f t="shared" si="178"/>
        <v>123543.40010999326</v>
      </c>
      <c r="DH125" s="5">
        <f t="shared" si="178"/>
        <v>124572.92844424321</v>
      </c>
      <c r="DI125" s="5">
        <f t="shared" si="178"/>
        <v>125611.03618127857</v>
      </c>
      <c r="DJ125" s="5">
        <f t="shared" si="178"/>
        <v>126657.79481612255</v>
      </c>
      <c r="DK125" s="5">
        <f t="shared" si="178"/>
        <v>127713.27643959023</v>
      </c>
      <c r="DL125" s="5">
        <f t="shared" si="178"/>
        <v>128777.55374325348</v>
      </c>
      <c r="DM125" s="5">
        <f t="shared" si="178"/>
        <v>129850.70002444726</v>
      </c>
      <c r="DN125" s="5">
        <f t="shared" si="178"/>
        <v>130932.78919131764</v>
      </c>
      <c r="DO125" s="5">
        <f t="shared" si="178"/>
        <v>132023.89576791195</v>
      </c>
      <c r="DP125" s="5">
        <f t="shared" si="178"/>
        <v>133124.09489931123</v>
      </c>
      <c r="DQ125" s="5">
        <f t="shared" si="178"/>
        <v>134233.46235680548</v>
      </c>
      <c r="DR125" s="5">
        <f t="shared" si="178"/>
        <v>135352.07454311219</v>
      </c>
      <c r="DS125" s="5">
        <f t="shared" si="178"/>
        <v>136480.00849763813</v>
      </c>
      <c r="DT125" s="5">
        <f t="shared" si="178"/>
        <v>137617.34190178511</v>
      </c>
      <c r="DU125" s="5">
        <f t="shared" si="178"/>
        <v>138764.15308429999</v>
      </c>
      <c r="DV125" s="5">
        <f t="shared" si="178"/>
        <v>139920.52102666916</v>
      </c>
      <c r="DW125" s="5">
        <f t="shared" si="178"/>
        <v>141086.52536855807</v>
      </c>
      <c r="DX125" s="5">
        <f t="shared" si="178"/>
        <v>142262.24641329606</v>
      </c>
      <c r="DY125" s="5">
        <f t="shared" si="178"/>
        <v>143447.76513340685</v>
      </c>
      <c r="DZ125" s="5">
        <f t="shared" si="178"/>
        <v>144643.16317618525</v>
      </c>
      <c r="EA125" s="5">
        <f t="shared" ref="EA125:GL125" si="179">IF(EA95&lt;=$B$92, DZ125*(1+$E$26/12), 0)</f>
        <v>145848.52286932012</v>
      </c>
      <c r="EB125" s="5">
        <f t="shared" si="179"/>
        <v>147063.92722656444</v>
      </c>
      <c r="EC125" s="5">
        <f t="shared" si="179"/>
        <v>148289.45995345246</v>
      </c>
      <c r="ED125" s="5">
        <f t="shared" si="179"/>
        <v>149525.20545306455</v>
      </c>
      <c r="EE125" s="5">
        <f t="shared" si="179"/>
        <v>150771.24883184009</v>
      </c>
      <c r="EF125" s="5">
        <f t="shared" si="179"/>
        <v>152027.67590543875</v>
      </c>
      <c r="EG125" s="5">
        <f t="shared" si="179"/>
        <v>153294.57320465075</v>
      </c>
      <c r="EH125" s="5">
        <f t="shared" si="179"/>
        <v>154572.02798135616</v>
      </c>
      <c r="EI125" s="5">
        <f t="shared" si="179"/>
        <v>155860.12821453414</v>
      </c>
      <c r="EJ125" s="5">
        <f t="shared" si="179"/>
        <v>157158.96261632192</v>
      </c>
      <c r="EK125" s="5">
        <f t="shared" si="179"/>
        <v>158468.62063812459</v>
      </c>
      <c r="EL125" s="5">
        <f t="shared" si="179"/>
        <v>159789.19247677561</v>
      </c>
      <c r="EM125" s="5">
        <f t="shared" si="179"/>
        <v>161120.76908074875</v>
      </c>
      <c r="EN125" s="5">
        <f t="shared" si="179"/>
        <v>162463.44215642166</v>
      </c>
      <c r="EO125" s="5">
        <f t="shared" si="179"/>
        <v>163817.30417439184</v>
      </c>
      <c r="EP125" s="5">
        <f t="shared" si="179"/>
        <v>165182.4483758451</v>
      </c>
      <c r="EQ125" s="5">
        <f t="shared" si="179"/>
        <v>166558.96877897714</v>
      </c>
      <c r="ER125" s="5">
        <f t="shared" si="179"/>
        <v>167946.9601854686</v>
      </c>
      <c r="ES125" s="5">
        <f t="shared" si="179"/>
        <v>169346.51818701418</v>
      </c>
      <c r="ET125" s="5">
        <f t="shared" si="179"/>
        <v>170757.73917190597</v>
      </c>
      <c r="EU125" s="5">
        <f t="shared" si="179"/>
        <v>172180.72033167185</v>
      </c>
      <c r="EV125" s="5">
        <f t="shared" si="179"/>
        <v>173615.55966776912</v>
      </c>
      <c r="EW125" s="5">
        <f t="shared" si="179"/>
        <v>175062.35599833386</v>
      </c>
      <c r="EX125" s="5">
        <f t="shared" si="179"/>
        <v>176521.20896498664</v>
      </c>
      <c r="EY125" s="5">
        <f t="shared" si="179"/>
        <v>177992.21903969484</v>
      </c>
      <c r="EZ125" s="5">
        <f t="shared" si="179"/>
        <v>179475.48753169228</v>
      </c>
      <c r="FA125" s="5">
        <f t="shared" si="179"/>
        <v>180971.11659445637</v>
      </c>
      <c r="FB125" s="5">
        <f t="shared" si="179"/>
        <v>182479.20923274351</v>
      </c>
      <c r="FC125" s="5">
        <f t="shared" si="179"/>
        <v>183999.86930968304</v>
      </c>
      <c r="FD125" s="5">
        <f t="shared" si="179"/>
        <v>185533.20155393038</v>
      </c>
      <c r="FE125" s="5">
        <f t="shared" si="179"/>
        <v>187079.3115668798</v>
      </c>
      <c r="FF125" s="5">
        <f t="shared" si="179"/>
        <v>188638.30582993713</v>
      </c>
      <c r="FG125" s="5">
        <f t="shared" si="179"/>
        <v>190210.29171185326</v>
      </c>
      <c r="FH125" s="5">
        <f t="shared" si="179"/>
        <v>191795.37747611871</v>
      </c>
      <c r="FI125" s="5">
        <f t="shared" si="179"/>
        <v>193393.67228841968</v>
      </c>
      <c r="FJ125" s="5">
        <f t="shared" si="179"/>
        <v>195005.2862241565</v>
      </c>
      <c r="FK125" s="5">
        <f t="shared" si="179"/>
        <v>196630.33027602447</v>
      </c>
      <c r="FL125" s="5">
        <f t="shared" si="179"/>
        <v>198268.91636165799</v>
      </c>
      <c r="FM125" s="5">
        <f t="shared" si="179"/>
        <v>199921.15733133847</v>
      </c>
      <c r="FN125" s="5">
        <f t="shared" si="179"/>
        <v>201587.16697576627</v>
      </c>
      <c r="FO125" s="5">
        <f t="shared" si="179"/>
        <v>203267.06003389767</v>
      </c>
      <c r="FP125" s="5">
        <f t="shared" si="179"/>
        <v>204960.9522008468</v>
      </c>
      <c r="FQ125" s="5">
        <f t="shared" si="179"/>
        <v>206668.96013585385</v>
      </c>
      <c r="FR125" s="5">
        <f t="shared" si="179"/>
        <v>208391.2014703193</v>
      </c>
      <c r="FS125" s="5">
        <f t="shared" si="179"/>
        <v>210127.79481590528</v>
      </c>
      <c r="FT125" s="5">
        <f t="shared" si="179"/>
        <v>211878.85977270448</v>
      </c>
      <c r="FU125" s="5">
        <f t="shared" si="179"/>
        <v>213644.51693747702</v>
      </c>
      <c r="FV125" s="5">
        <f t="shared" si="179"/>
        <v>215424.887911956</v>
      </c>
      <c r="FW125" s="5">
        <f t="shared" si="179"/>
        <v>217220.09531122231</v>
      </c>
      <c r="FX125" s="5">
        <f t="shared" si="179"/>
        <v>219030.26277214914</v>
      </c>
      <c r="FY125" s="5">
        <f t="shared" si="179"/>
        <v>220855.51496191704</v>
      </c>
      <c r="FZ125" s="5">
        <f t="shared" si="179"/>
        <v>222695.97758659968</v>
      </c>
      <c r="GA125" s="5">
        <f t="shared" si="179"/>
        <v>224551.77739982132</v>
      </c>
      <c r="GB125" s="5">
        <f t="shared" si="179"/>
        <v>226423.04221148649</v>
      </c>
      <c r="GC125" s="5">
        <f t="shared" si="179"/>
        <v>228309.9008965822</v>
      </c>
      <c r="GD125" s="5">
        <f t="shared" si="179"/>
        <v>230212.48340405372</v>
      </c>
      <c r="GE125" s="5">
        <f t="shared" si="179"/>
        <v>232130.92076575416</v>
      </c>
      <c r="GF125" s="5">
        <f t="shared" si="179"/>
        <v>234065.34510546876</v>
      </c>
      <c r="GG125" s="5">
        <f t="shared" si="179"/>
        <v>236015.88964801433</v>
      </c>
      <c r="GH125" s="5">
        <f t="shared" si="179"/>
        <v>237982.68872841445</v>
      </c>
      <c r="GI125" s="5">
        <f t="shared" si="179"/>
        <v>239965.87780115122</v>
      </c>
      <c r="GJ125" s="5">
        <f t="shared" si="179"/>
        <v>241965.59344949413</v>
      </c>
      <c r="GK125" s="5">
        <f t="shared" si="179"/>
        <v>243981.97339490658</v>
      </c>
      <c r="GL125" s="5">
        <f t="shared" si="179"/>
        <v>246015.1565065308</v>
      </c>
      <c r="GM125" s="5">
        <f t="shared" ref="GM125:IX125" si="180">IF(GM95&lt;=$B$92, GL125*(1+$E$26/12), 0)</f>
        <v>248065.28281075187</v>
      </c>
      <c r="GN125" s="5">
        <f t="shared" si="180"/>
        <v>250132.49350084146</v>
      </c>
      <c r="GO125" s="5">
        <f t="shared" si="180"/>
        <v>252216.93094668179</v>
      </c>
      <c r="GP125" s="5">
        <f t="shared" si="180"/>
        <v>254318.7387045708</v>
      </c>
      <c r="GQ125" s="5">
        <f t="shared" si="180"/>
        <v>256438.06152710889</v>
      </c>
      <c r="GR125" s="5">
        <f t="shared" si="180"/>
        <v>258575.04537316813</v>
      </c>
      <c r="GS125" s="5">
        <f t="shared" si="180"/>
        <v>260729.83741794454</v>
      </c>
      <c r="GT125" s="5">
        <f t="shared" si="180"/>
        <v>262902.58606309409</v>
      </c>
      <c r="GU125" s="5">
        <f t="shared" si="180"/>
        <v>265093.4409469532</v>
      </c>
      <c r="GV125" s="5">
        <f t="shared" si="180"/>
        <v>267302.55295484449</v>
      </c>
      <c r="GW125" s="5">
        <f t="shared" si="180"/>
        <v>269530.07422946818</v>
      </c>
      <c r="GX125" s="5">
        <f t="shared" si="180"/>
        <v>271776.15818138042</v>
      </c>
      <c r="GY125" s="5">
        <f t="shared" si="180"/>
        <v>274040.95949955861</v>
      </c>
      <c r="GZ125" s="5">
        <f t="shared" si="180"/>
        <v>276324.63416205492</v>
      </c>
      <c r="HA125" s="5">
        <f t="shared" si="180"/>
        <v>278627.33944673871</v>
      </c>
      <c r="HB125" s="5">
        <f t="shared" si="180"/>
        <v>280949.23394212819</v>
      </c>
      <c r="HC125" s="5">
        <f t="shared" si="180"/>
        <v>283290.47755831259</v>
      </c>
      <c r="HD125" s="5">
        <f t="shared" si="180"/>
        <v>285651.23153796518</v>
      </c>
      <c r="HE125" s="5">
        <f t="shared" si="180"/>
        <v>288031.6584674482</v>
      </c>
      <c r="HF125" s="5">
        <f t="shared" si="180"/>
        <v>290431.92228801025</v>
      </c>
      <c r="HG125" s="5">
        <f t="shared" si="180"/>
        <v>292852.18830707698</v>
      </c>
      <c r="HH125" s="5">
        <f t="shared" si="180"/>
        <v>295292.62320963596</v>
      </c>
      <c r="HI125" s="5">
        <f t="shared" si="180"/>
        <v>297753.39506971627</v>
      </c>
      <c r="HJ125" s="5">
        <f t="shared" si="180"/>
        <v>300234.67336196388</v>
      </c>
      <c r="HK125" s="5">
        <f t="shared" si="180"/>
        <v>302736.62897331355</v>
      </c>
      <c r="HL125" s="5">
        <f t="shared" si="180"/>
        <v>305259.43421475781</v>
      </c>
      <c r="HM125" s="5">
        <f t="shared" si="180"/>
        <v>307803.26283321413</v>
      </c>
      <c r="HN125" s="5">
        <f t="shared" si="180"/>
        <v>310368.2900234909</v>
      </c>
      <c r="HO125" s="5">
        <f t="shared" si="180"/>
        <v>312954.69244035333</v>
      </c>
      <c r="HP125" s="5">
        <f t="shared" si="180"/>
        <v>315562.6482106896</v>
      </c>
      <c r="HQ125" s="5">
        <f t="shared" si="180"/>
        <v>318192.33694577869</v>
      </c>
      <c r="HR125" s="5">
        <f t="shared" si="180"/>
        <v>320843.93975366018</v>
      </c>
      <c r="HS125" s="5">
        <f t="shared" si="180"/>
        <v>323517.63925160735</v>
      </c>
      <c r="HT125" s="5">
        <f t="shared" si="180"/>
        <v>326213.61957870406</v>
      </c>
      <c r="HU125" s="5">
        <f t="shared" si="180"/>
        <v>328932.06640852656</v>
      </c>
      <c r="HV125" s="5">
        <f t="shared" si="180"/>
        <v>331673.16696193093</v>
      </c>
      <c r="HW125" s="5">
        <f t="shared" si="180"/>
        <v>334437.11001994699</v>
      </c>
      <c r="HX125" s="5">
        <f t="shared" si="180"/>
        <v>337224.08593677985</v>
      </c>
      <c r="HY125" s="5">
        <f t="shared" si="180"/>
        <v>340034.28665291966</v>
      </c>
      <c r="HZ125" s="5">
        <f t="shared" si="180"/>
        <v>342867.90570836066</v>
      </c>
      <c r="IA125" s="5">
        <f t="shared" si="180"/>
        <v>345725.13825593033</v>
      </c>
      <c r="IB125" s="5">
        <f t="shared" si="180"/>
        <v>348606.18107472971</v>
      </c>
      <c r="IC125" s="5">
        <f t="shared" si="180"/>
        <v>351511.23258368578</v>
      </c>
      <c r="ID125" s="5">
        <f t="shared" si="180"/>
        <v>354440.49285521649</v>
      </c>
      <c r="IE125" s="5">
        <f t="shared" si="180"/>
        <v>357394.16362900997</v>
      </c>
      <c r="IF125" s="5">
        <f t="shared" si="180"/>
        <v>360372.44832591841</v>
      </c>
      <c r="IG125" s="5">
        <f t="shared" si="180"/>
        <v>363375.55206196773</v>
      </c>
      <c r="IH125" s="5">
        <f t="shared" si="180"/>
        <v>366403.68166248413</v>
      </c>
      <c r="II125" s="5">
        <f t="shared" si="180"/>
        <v>369457.04567633814</v>
      </c>
      <c r="IJ125" s="5">
        <f t="shared" si="180"/>
        <v>372535.85439030762</v>
      </c>
      <c r="IK125" s="5">
        <f t="shared" si="180"/>
        <v>375640.31984356017</v>
      </c>
      <c r="IL125" s="5">
        <f t="shared" si="180"/>
        <v>378770.6558422565</v>
      </c>
      <c r="IM125" s="5">
        <f t="shared" si="180"/>
        <v>381927.07797427528</v>
      </c>
      <c r="IN125" s="5">
        <f t="shared" si="180"/>
        <v>385109.80362406088</v>
      </c>
      <c r="IO125" s="5">
        <f t="shared" si="180"/>
        <v>388319.05198759469</v>
      </c>
      <c r="IP125" s="5">
        <f t="shared" si="180"/>
        <v>391555.04408749129</v>
      </c>
      <c r="IQ125" s="5">
        <f t="shared" si="180"/>
        <v>394818.00278822036</v>
      </c>
      <c r="IR125" s="5">
        <f t="shared" si="180"/>
        <v>398108.15281145554</v>
      </c>
      <c r="IS125" s="5">
        <f t="shared" si="180"/>
        <v>401425.72075155098</v>
      </c>
      <c r="IT125" s="5">
        <f t="shared" si="180"/>
        <v>404770.9350911472</v>
      </c>
      <c r="IU125" s="5">
        <f t="shared" si="180"/>
        <v>408144.02621690673</v>
      </c>
      <c r="IV125" s="5">
        <f t="shared" si="180"/>
        <v>411545.22643538093</v>
      </c>
      <c r="IW125" s="5">
        <f t="shared" si="180"/>
        <v>414974.76998900907</v>
      </c>
      <c r="IX125" s="5">
        <f t="shared" si="180"/>
        <v>418432.89307225082</v>
      </c>
      <c r="IY125" s="5">
        <f t="shared" ref="IY125:LJ125" si="181">IF(IY95&lt;=$B$92, IX125*(1+$E$26/12), 0)</f>
        <v>421919.83384785289</v>
      </c>
      <c r="IZ125" s="5">
        <f t="shared" si="181"/>
        <v>425435.83246325166</v>
      </c>
      <c r="JA125" s="5">
        <f t="shared" si="181"/>
        <v>428981.13106711209</v>
      </c>
      <c r="JB125" s="5">
        <f t="shared" si="181"/>
        <v>432555.97382600466</v>
      </c>
      <c r="JC125" s="5">
        <f t="shared" si="181"/>
        <v>436160.60694122134</v>
      </c>
      <c r="JD125" s="5">
        <f t="shared" si="181"/>
        <v>439795.27866573149</v>
      </c>
      <c r="JE125" s="5">
        <f t="shared" si="181"/>
        <v>443460.23932127922</v>
      </c>
      <c r="JF125" s="5">
        <f t="shared" si="181"/>
        <v>447155.74131562322</v>
      </c>
      <c r="JG125" s="5">
        <f t="shared" si="181"/>
        <v>450882.03915992007</v>
      </c>
      <c r="JH125" s="5">
        <f t="shared" si="181"/>
        <v>454639.38948625274</v>
      </c>
      <c r="JI125" s="5">
        <f t="shared" si="181"/>
        <v>458428.05106530484</v>
      </c>
      <c r="JJ125" s="5">
        <f t="shared" si="181"/>
        <v>462248.2848241824</v>
      </c>
      <c r="JK125" s="5">
        <f t="shared" si="181"/>
        <v>466100.35386438388</v>
      </c>
      <c r="JL125" s="5">
        <f t="shared" si="181"/>
        <v>469984.5234799204</v>
      </c>
      <c r="JM125" s="5">
        <f t="shared" si="181"/>
        <v>473901.06117558642</v>
      </c>
      <c r="JN125" s="5">
        <f t="shared" si="181"/>
        <v>477850.23668538296</v>
      </c>
      <c r="JO125" s="5">
        <f t="shared" si="181"/>
        <v>481832.32199109445</v>
      </c>
      <c r="JP125" s="5">
        <f t="shared" si="181"/>
        <v>485847.59134102019</v>
      </c>
      <c r="JQ125" s="5">
        <f t="shared" si="181"/>
        <v>489896.321268862</v>
      </c>
      <c r="JR125" s="5">
        <f t="shared" si="181"/>
        <v>493978.79061276914</v>
      </c>
      <c r="JS125" s="5">
        <f t="shared" si="181"/>
        <v>498095.28053454222</v>
      </c>
      <c r="JT125" s="5">
        <f t="shared" si="181"/>
        <v>502246.07453899673</v>
      </c>
      <c r="JU125" s="5">
        <f t="shared" si="181"/>
        <v>506431.45849348838</v>
      </c>
      <c r="JV125" s="5">
        <f t="shared" si="181"/>
        <v>510651.72064760077</v>
      </c>
      <c r="JW125" s="5">
        <f t="shared" si="181"/>
        <v>514907.15165299742</v>
      </c>
      <c r="JX125" s="5">
        <f t="shared" si="181"/>
        <v>519198.04458343907</v>
      </c>
      <c r="JY125" s="5">
        <f t="shared" si="181"/>
        <v>523524.69495496771</v>
      </c>
      <c r="JZ125" s="5">
        <f t="shared" si="181"/>
        <v>527887.40074625914</v>
      </c>
      <c r="KA125" s="5">
        <f t="shared" si="181"/>
        <v>532286.46241914458</v>
      </c>
      <c r="KB125" s="5">
        <f t="shared" si="181"/>
        <v>536722.18293930416</v>
      </c>
      <c r="KC125" s="5">
        <f t="shared" si="181"/>
        <v>541194.86779713165</v>
      </c>
      <c r="KD125" s="5">
        <f t="shared" si="181"/>
        <v>545704.82502877444</v>
      </c>
      <c r="KE125" s="5">
        <f t="shared" si="181"/>
        <v>550252.36523734755</v>
      </c>
      <c r="KF125" s="5">
        <f t="shared" si="181"/>
        <v>554837.80161432538</v>
      </c>
      <c r="KG125" s="5">
        <f t="shared" si="181"/>
        <v>559461.44996111142</v>
      </c>
      <c r="KH125" s="5">
        <f t="shared" si="181"/>
        <v>564123.62871078728</v>
      </c>
      <c r="KI125" s="5">
        <f t="shared" si="181"/>
        <v>568824.65895004384</v>
      </c>
      <c r="KJ125" s="5">
        <f t="shared" si="181"/>
        <v>573564.86444129422</v>
      </c>
      <c r="KK125" s="5">
        <f t="shared" si="181"/>
        <v>578344.57164497161</v>
      </c>
      <c r="KL125" s="5">
        <f t="shared" si="181"/>
        <v>583164.10974201304</v>
      </c>
      <c r="KM125" s="5">
        <f t="shared" si="181"/>
        <v>588023.81065652985</v>
      </c>
      <c r="KN125" s="5">
        <f t="shared" si="181"/>
        <v>592924.00907866762</v>
      </c>
      <c r="KO125" s="5">
        <f t="shared" si="181"/>
        <v>597865.04248765646</v>
      </c>
      <c r="KP125" s="5">
        <f t="shared" si="181"/>
        <v>602847.25117505353</v>
      </c>
      <c r="KQ125" s="5">
        <f t="shared" si="181"/>
        <v>607870.97826817899</v>
      </c>
      <c r="KR125" s="5">
        <f t="shared" si="181"/>
        <v>612936.56975374708</v>
      </c>
      <c r="KS125" s="5">
        <f t="shared" si="181"/>
        <v>618044.37450169493</v>
      </c>
      <c r="KT125" s="5">
        <f t="shared" si="181"/>
        <v>623194.74428920902</v>
      </c>
      <c r="KU125" s="5">
        <f t="shared" si="181"/>
        <v>628388.03382495244</v>
      </c>
      <c r="KV125" s="5">
        <f t="shared" si="181"/>
        <v>633624.60077349364</v>
      </c>
      <c r="KW125" s="5">
        <f t="shared" si="181"/>
        <v>638904.8057799394</v>
      </c>
      <c r="KX125" s="5">
        <f t="shared" si="181"/>
        <v>644229.01249477221</v>
      </c>
      <c r="KY125" s="5">
        <f t="shared" si="181"/>
        <v>649597.5875988953</v>
      </c>
      <c r="KZ125" s="5">
        <f t="shared" si="181"/>
        <v>655010.90082888608</v>
      </c>
      <c r="LA125" s="5">
        <f t="shared" si="181"/>
        <v>660469.32500246016</v>
      </c>
      <c r="LB125" s="5">
        <f t="shared" si="181"/>
        <v>665973.23604414728</v>
      </c>
      <c r="LC125" s="5">
        <f t="shared" si="181"/>
        <v>671523.01301118184</v>
      </c>
      <c r="LD125" s="5">
        <f t="shared" si="181"/>
        <v>677119.0381196083</v>
      </c>
      <c r="LE125" s="5">
        <f t="shared" si="181"/>
        <v>682761.69677060505</v>
      </c>
      <c r="LF125" s="5">
        <f t="shared" si="181"/>
        <v>688451.37757702672</v>
      </c>
      <c r="LG125" s="5">
        <f t="shared" si="181"/>
        <v>694188.47239016858</v>
      </c>
      <c r="LH125" s="5">
        <f t="shared" si="181"/>
        <v>699973.37632675329</v>
      </c>
      <c r="LI125" s="5">
        <f t="shared" si="181"/>
        <v>705806.48779614293</v>
      </c>
      <c r="LJ125" s="5">
        <f t="shared" si="181"/>
        <v>711688.20852777746</v>
      </c>
      <c r="LK125" s="5">
        <f t="shared" ref="LK125:NV125" si="182">IF(LK95&lt;=$B$92, LJ125*(1+$E$26/12), 0)</f>
        <v>717618.94359884225</v>
      </c>
      <c r="LL125" s="5">
        <f t="shared" si="182"/>
        <v>723599.10146216594</v>
      </c>
      <c r="LM125" s="5">
        <f t="shared" si="182"/>
        <v>729629.0939743506</v>
      </c>
      <c r="LN125" s="5">
        <f t="shared" si="182"/>
        <v>735709.33642413688</v>
      </c>
      <c r="LO125" s="5">
        <f t="shared" si="182"/>
        <v>741840.24756100471</v>
      </c>
      <c r="LP125" s="5">
        <f t="shared" si="182"/>
        <v>748022.24962401309</v>
      </c>
      <c r="LQ125" s="5">
        <f t="shared" si="182"/>
        <v>754255.76837087981</v>
      </c>
      <c r="LR125" s="5">
        <f t="shared" si="182"/>
        <v>760541.23310730373</v>
      </c>
      <c r="LS125" s="5">
        <f t="shared" si="182"/>
        <v>766879.0767165313</v>
      </c>
      <c r="LT125" s="5">
        <f t="shared" si="182"/>
        <v>773269.73568916903</v>
      </c>
      <c r="LU125" s="5">
        <f t="shared" si="182"/>
        <v>779713.65015324543</v>
      </c>
      <c r="LV125" s="5">
        <f t="shared" si="182"/>
        <v>786211.26390452241</v>
      </c>
      <c r="LW125" s="5">
        <f t="shared" si="182"/>
        <v>792763.02443706011</v>
      </c>
      <c r="LX125" s="5">
        <f t="shared" si="182"/>
        <v>799369.38297403557</v>
      </c>
      <c r="LY125" s="5">
        <f t="shared" si="182"/>
        <v>806030.79449881916</v>
      </c>
      <c r="LZ125" s="5">
        <f t="shared" si="182"/>
        <v>812747.71778630931</v>
      </c>
      <c r="MA125" s="5">
        <f t="shared" si="182"/>
        <v>819520.61543452856</v>
      </c>
      <c r="MB125" s="5">
        <f t="shared" si="182"/>
        <v>826349.95389648294</v>
      </c>
      <c r="MC125" s="5">
        <f t="shared" si="182"/>
        <v>833236.20351228688</v>
      </c>
      <c r="MD125" s="5">
        <f t="shared" si="182"/>
        <v>840179.83854155592</v>
      </c>
      <c r="ME125" s="5">
        <f t="shared" si="182"/>
        <v>847181.33719606884</v>
      </c>
      <c r="MF125" s="5">
        <f t="shared" si="182"/>
        <v>854241.18167270278</v>
      </c>
      <c r="MG125" s="5">
        <f t="shared" si="182"/>
        <v>861359.85818664194</v>
      </c>
      <c r="MH125" s="5">
        <f t="shared" si="182"/>
        <v>868537.85700486391</v>
      </c>
      <c r="MI125" s="5">
        <f t="shared" si="182"/>
        <v>875775.67247990437</v>
      </c>
      <c r="MJ125" s="5">
        <f t="shared" si="182"/>
        <v>883073.80308390351</v>
      </c>
      <c r="MK125" s="5">
        <f t="shared" si="182"/>
        <v>890432.75144293602</v>
      </c>
      <c r="ML125" s="5">
        <f t="shared" si="182"/>
        <v>897853.02437162714</v>
      </c>
      <c r="MM125" s="5">
        <f t="shared" si="182"/>
        <v>905335.13290805731</v>
      </c>
      <c r="MN125" s="5">
        <f t="shared" si="182"/>
        <v>912879.59234895778</v>
      </c>
      <c r="MO125" s="5">
        <f t="shared" si="182"/>
        <v>920486.92228519905</v>
      </c>
      <c r="MP125" s="5">
        <f t="shared" si="182"/>
        <v>928157.6466375757</v>
      </c>
      <c r="MQ125" s="5">
        <f t="shared" si="182"/>
        <v>935892.29369288881</v>
      </c>
      <c r="MR125" s="5">
        <f t="shared" si="182"/>
        <v>943691.39614032954</v>
      </c>
      <c r="MS125" s="5">
        <f t="shared" si="182"/>
        <v>951555.49110816559</v>
      </c>
      <c r="MT125" s="5">
        <f t="shared" si="182"/>
        <v>959485.12020073365</v>
      </c>
      <c r="MU125" s="5">
        <f t="shared" si="182"/>
        <v>967480.82953573973</v>
      </c>
      <c r="MV125" s="5">
        <f t="shared" si="182"/>
        <v>975543.16978187091</v>
      </c>
      <c r="MW125" s="5">
        <f t="shared" si="182"/>
        <v>983672.69619671977</v>
      </c>
      <c r="MX125" s="5">
        <f t="shared" si="182"/>
        <v>991869.96866502578</v>
      </c>
      <c r="MY125" s="5">
        <f t="shared" si="182"/>
        <v>0</v>
      </c>
      <c r="MZ125" s="5">
        <f t="shared" si="182"/>
        <v>0</v>
      </c>
      <c r="NA125" s="5">
        <f t="shared" si="182"/>
        <v>0</v>
      </c>
      <c r="NB125" s="5">
        <f t="shared" si="182"/>
        <v>0</v>
      </c>
      <c r="NC125" s="5">
        <f t="shared" si="182"/>
        <v>0</v>
      </c>
      <c r="ND125" s="5">
        <f t="shared" si="182"/>
        <v>0</v>
      </c>
      <c r="NE125" s="5">
        <f t="shared" si="182"/>
        <v>0</v>
      </c>
      <c r="NF125" s="5">
        <f t="shared" si="182"/>
        <v>0</v>
      </c>
      <c r="NG125" s="5">
        <f t="shared" si="182"/>
        <v>0</v>
      </c>
      <c r="NH125" s="5">
        <f t="shared" si="182"/>
        <v>0</v>
      </c>
      <c r="NI125" s="5">
        <f t="shared" si="182"/>
        <v>0</v>
      </c>
      <c r="NJ125" s="5">
        <f t="shared" si="182"/>
        <v>0</v>
      </c>
      <c r="NK125" s="5">
        <f t="shared" si="182"/>
        <v>0</v>
      </c>
      <c r="NL125" s="5">
        <f t="shared" si="182"/>
        <v>0</v>
      </c>
      <c r="NM125" s="5">
        <f t="shared" si="182"/>
        <v>0</v>
      </c>
      <c r="NN125" s="5">
        <f t="shared" si="182"/>
        <v>0</v>
      </c>
      <c r="NO125" s="5">
        <f t="shared" si="182"/>
        <v>0</v>
      </c>
      <c r="NP125" s="5">
        <f t="shared" si="182"/>
        <v>0</v>
      </c>
      <c r="NQ125" s="5">
        <f t="shared" si="182"/>
        <v>0</v>
      </c>
      <c r="NR125" s="5">
        <f t="shared" si="182"/>
        <v>0</v>
      </c>
      <c r="NS125" s="5">
        <f t="shared" si="182"/>
        <v>0</v>
      </c>
      <c r="NT125" s="5">
        <f t="shared" si="182"/>
        <v>0</v>
      </c>
      <c r="NU125" s="5">
        <f t="shared" si="182"/>
        <v>0</v>
      </c>
      <c r="NV125" s="5">
        <f t="shared" si="182"/>
        <v>0</v>
      </c>
      <c r="NW125" s="5">
        <f t="shared" ref="NW125:PF125" si="183">IF(NW95&lt;=$B$92, NV125*(1+$E$26/12), 0)</f>
        <v>0</v>
      </c>
      <c r="NX125" s="5">
        <f t="shared" si="183"/>
        <v>0</v>
      </c>
      <c r="NY125" s="5">
        <f t="shared" si="183"/>
        <v>0</v>
      </c>
      <c r="NZ125" s="5">
        <f t="shared" si="183"/>
        <v>0</v>
      </c>
      <c r="OA125" s="5">
        <f t="shared" si="183"/>
        <v>0</v>
      </c>
      <c r="OB125" s="5">
        <f t="shared" si="183"/>
        <v>0</v>
      </c>
      <c r="OC125" s="5">
        <f t="shared" si="183"/>
        <v>0</v>
      </c>
      <c r="OD125" s="5">
        <f t="shared" si="183"/>
        <v>0</v>
      </c>
      <c r="OE125" s="5">
        <f t="shared" si="183"/>
        <v>0</v>
      </c>
      <c r="OF125" s="5">
        <f t="shared" si="183"/>
        <v>0</v>
      </c>
      <c r="OG125" s="5">
        <f t="shared" si="183"/>
        <v>0</v>
      </c>
      <c r="OH125" s="5">
        <f t="shared" si="183"/>
        <v>0</v>
      </c>
      <c r="OI125" s="5">
        <f t="shared" si="183"/>
        <v>0</v>
      </c>
      <c r="OJ125" s="5">
        <f t="shared" si="183"/>
        <v>0</v>
      </c>
      <c r="OK125" s="5">
        <f t="shared" si="183"/>
        <v>0</v>
      </c>
      <c r="OL125" s="5">
        <f t="shared" si="183"/>
        <v>0</v>
      </c>
      <c r="OM125" s="5">
        <f t="shared" si="183"/>
        <v>0</v>
      </c>
      <c r="ON125" s="5">
        <f t="shared" si="183"/>
        <v>0</v>
      </c>
      <c r="OO125" s="5">
        <f t="shared" si="183"/>
        <v>0</v>
      </c>
      <c r="OP125" s="5">
        <f t="shared" si="183"/>
        <v>0</v>
      </c>
      <c r="OQ125" s="5">
        <f t="shared" si="183"/>
        <v>0</v>
      </c>
      <c r="OR125" s="5">
        <f t="shared" si="183"/>
        <v>0</v>
      </c>
      <c r="OS125" s="5">
        <f t="shared" si="183"/>
        <v>0</v>
      </c>
      <c r="OT125" s="5">
        <f t="shared" si="183"/>
        <v>0</v>
      </c>
      <c r="OU125" s="5">
        <f t="shared" si="183"/>
        <v>0</v>
      </c>
      <c r="OV125" s="5">
        <f t="shared" si="183"/>
        <v>0</v>
      </c>
      <c r="OW125" s="5">
        <f t="shared" si="183"/>
        <v>0</v>
      </c>
      <c r="OX125" s="5">
        <f t="shared" si="183"/>
        <v>0</v>
      </c>
      <c r="OY125" s="5">
        <f t="shared" si="183"/>
        <v>0</v>
      </c>
      <c r="OZ125" s="5">
        <f t="shared" si="183"/>
        <v>0</v>
      </c>
      <c r="PA125" s="5">
        <f t="shared" si="183"/>
        <v>0</v>
      </c>
      <c r="PB125" s="5">
        <f t="shared" si="183"/>
        <v>0</v>
      </c>
      <c r="PC125" s="5">
        <f t="shared" si="183"/>
        <v>0</v>
      </c>
      <c r="PD125" s="5">
        <f t="shared" si="183"/>
        <v>0</v>
      </c>
      <c r="PE125" s="5">
        <f t="shared" si="183"/>
        <v>0</v>
      </c>
      <c r="PF125" s="5">
        <f t="shared" si="183"/>
        <v>0</v>
      </c>
    </row>
    <row r="126" spans="1:422" hidden="1">
      <c r="A126" s="6" t="s">
        <v>9</v>
      </c>
      <c r="B126" s="5">
        <f t="shared" si="176"/>
        <v>18000</v>
      </c>
      <c r="C126" s="18">
        <f t="shared" ref="C126:BN126" si="184">IF(C95&lt;=$B$92, B126*(1+$E$26/12), 0)</f>
        <v>18150</v>
      </c>
      <c r="D126" s="5">
        <f t="shared" si="184"/>
        <v>18301.25</v>
      </c>
      <c r="E126" s="5">
        <f t="shared" si="184"/>
        <v>18453.760416666668</v>
      </c>
      <c r="F126" s="5">
        <f t="shared" si="184"/>
        <v>18607.541753472222</v>
      </c>
      <c r="G126" s="5">
        <f t="shared" si="184"/>
        <v>18762.604601417825</v>
      </c>
      <c r="H126" s="5">
        <f t="shared" si="184"/>
        <v>18918.959639762972</v>
      </c>
      <c r="I126" s="5">
        <f t="shared" si="184"/>
        <v>19076.617636760995</v>
      </c>
      <c r="J126" s="5">
        <f t="shared" si="184"/>
        <v>19235.589450400668</v>
      </c>
      <c r="K126" s="5">
        <f t="shared" si="184"/>
        <v>19395.886029154008</v>
      </c>
      <c r="L126" s="5">
        <f t="shared" si="184"/>
        <v>19557.518412730289</v>
      </c>
      <c r="M126" s="5">
        <f t="shared" si="184"/>
        <v>19720.497732836375</v>
      </c>
      <c r="N126" s="5">
        <f t="shared" si="184"/>
        <v>19884.835213943345</v>
      </c>
      <c r="O126" s="5">
        <f t="shared" si="184"/>
        <v>20050.542174059538</v>
      </c>
      <c r="P126" s="5">
        <f t="shared" si="184"/>
        <v>20217.630025510032</v>
      </c>
      <c r="Q126" s="5">
        <f t="shared" si="184"/>
        <v>20386.110275722614</v>
      </c>
      <c r="R126" s="5">
        <f t="shared" si="184"/>
        <v>20555.994528020303</v>
      </c>
      <c r="S126" s="5">
        <f t="shared" si="184"/>
        <v>20727.294482420471</v>
      </c>
      <c r="T126" s="5">
        <f t="shared" si="184"/>
        <v>20900.02193644064</v>
      </c>
      <c r="U126" s="5">
        <f t="shared" si="184"/>
        <v>21074.188785910977</v>
      </c>
      <c r="V126" s="5">
        <f t="shared" si="184"/>
        <v>21249.807025793569</v>
      </c>
      <c r="W126" s="5">
        <f t="shared" si="184"/>
        <v>21426.888751008515</v>
      </c>
      <c r="X126" s="5">
        <f t="shared" si="184"/>
        <v>21605.446157266917</v>
      </c>
      <c r="Y126" s="5">
        <f t="shared" si="184"/>
        <v>21785.491541910807</v>
      </c>
      <c r="Z126" s="5">
        <f t="shared" si="184"/>
        <v>21967.037304760062</v>
      </c>
      <c r="AA126" s="5">
        <f t="shared" si="184"/>
        <v>22150.095948966395</v>
      </c>
      <c r="AB126" s="5">
        <f t="shared" si="184"/>
        <v>22334.680081874449</v>
      </c>
      <c r="AC126" s="5">
        <f t="shared" si="184"/>
        <v>22520.80241589007</v>
      </c>
      <c r="AD126" s="5">
        <f t="shared" si="184"/>
        <v>22708.47576935582</v>
      </c>
      <c r="AE126" s="5">
        <f t="shared" si="184"/>
        <v>22897.713067433786</v>
      </c>
      <c r="AF126" s="5">
        <f t="shared" si="184"/>
        <v>23088.527342995734</v>
      </c>
      <c r="AG126" s="5">
        <f t="shared" si="184"/>
        <v>23280.931737520699</v>
      </c>
      <c r="AH126" s="5">
        <f t="shared" si="184"/>
        <v>23474.939502000037</v>
      </c>
      <c r="AI126" s="5">
        <f t="shared" si="184"/>
        <v>23670.563997850037</v>
      </c>
      <c r="AJ126" s="5">
        <f t="shared" si="184"/>
        <v>23867.818697832121</v>
      </c>
      <c r="AK126" s="5">
        <f t="shared" si="184"/>
        <v>24066.717186980721</v>
      </c>
      <c r="AL126" s="5">
        <f t="shared" si="184"/>
        <v>24267.273163538892</v>
      </c>
      <c r="AM126" s="5">
        <f t="shared" si="184"/>
        <v>24469.500439901716</v>
      </c>
      <c r="AN126" s="5">
        <f t="shared" si="184"/>
        <v>24673.412943567564</v>
      </c>
      <c r="AO126" s="5">
        <f t="shared" si="184"/>
        <v>24879.024718097295</v>
      </c>
      <c r="AP126" s="5">
        <f t="shared" si="184"/>
        <v>25086.349924081438</v>
      </c>
      <c r="AQ126" s="5">
        <f t="shared" si="184"/>
        <v>25295.40284011545</v>
      </c>
      <c r="AR126" s="5">
        <f t="shared" si="184"/>
        <v>25506.19786378308</v>
      </c>
      <c r="AS126" s="5">
        <f t="shared" si="184"/>
        <v>25718.749512647937</v>
      </c>
      <c r="AT126" s="5">
        <f t="shared" si="184"/>
        <v>25933.072425253336</v>
      </c>
      <c r="AU126" s="5">
        <f t="shared" si="184"/>
        <v>26149.181362130446</v>
      </c>
      <c r="AV126" s="5">
        <f t="shared" si="184"/>
        <v>26367.091206814865</v>
      </c>
      <c r="AW126" s="5">
        <f t="shared" si="184"/>
        <v>26586.816966871655</v>
      </c>
      <c r="AX126" s="5">
        <f t="shared" si="184"/>
        <v>26808.373774928918</v>
      </c>
      <c r="AY126" s="5">
        <f t="shared" si="184"/>
        <v>27031.776889719989</v>
      </c>
      <c r="AZ126" s="5">
        <f t="shared" si="184"/>
        <v>27257.041697134322</v>
      </c>
      <c r="BA126" s="5">
        <f t="shared" si="184"/>
        <v>27484.183711277106</v>
      </c>
      <c r="BB126" s="5">
        <f t="shared" si="184"/>
        <v>27713.218575537747</v>
      </c>
      <c r="BC126" s="5">
        <f t="shared" si="184"/>
        <v>27944.162063667227</v>
      </c>
      <c r="BD126" s="5">
        <f t="shared" si="184"/>
        <v>28177.030080864453</v>
      </c>
      <c r="BE126" s="5">
        <f t="shared" si="184"/>
        <v>28411.838664871655</v>
      </c>
      <c r="BF126" s="5">
        <f t="shared" si="184"/>
        <v>28648.603987078917</v>
      </c>
      <c r="BG126" s="5">
        <f t="shared" si="184"/>
        <v>28887.342353637909</v>
      </c>
      <c r="BH126" s="5">
        <f t="shared" si="184"/>
        <v>29128.070206584889</v>
      </c>
      <c r="BI126" s="5">
        <f t="shared" si="184"/>
        <v>29370.804124973096</v>
      </c>
      <c r="BJ126" s="5">
        <f t="shared" si="184"/>
        <v>29615.560826014538</v>
      </c>
      <c r="BK126" s="5">
        <f t="shared" si="184"/>
        <v>29862.357166231326</v>
      </c>
      <c r="BL126" s="5">
        <f t="shared" si="184"/>
        <v>30111.210142616586</v>
      </c>
      <c r="BM126" s="5">
        <f t="shared" si="184"/>
        <v>30362.136893805058</v>
      </c>
      <c r="BN126" s="5">
        <f t="shared" si="184"/>
        <v>30615.154701253432</v>
      </c>
      <c r="BO126" s="5">
        <f t="shared" ref="BO126:DZ126" si="185">IF(BO95&lt;=$B$92, BN126*(1+$E$26/12), 0)</f>
        <v>30870.280990430543</v>
      </c>
      <c r="BP126" s="5">
        <f t="shared" si="185"/>
        <v>31127.533332017465</v>
      </c>
      <c r="BQ126" s="5">
        <f t="shared" si="185"/>
        <v>31386.929443117609</v>
      </c>
      <c r="BR126" s="5">
        <f t="shared" si="185"/>
        <v>31648.487188476924</v>
      </c>
      <c r="BS126" s="5">
        <f t="shared" si="185"/>
        <v>31912.224581714232</v>
      </c>
      <c r="BT126" s="5">
        <f t="shared" si="185"/>
        <v>32178.15978656185</v>
      </c>
      <c r="BU126" s="5">
        <f t="shared" si="185"/>
        <v>32446.31111811653</v>
      </c>
      <c r="BV126" s="5">
        <f t="shared" si="185"/>
        <v>32716.697044100834</v>
      </c>
      <c r="BW126" s="5">
        <f t="shared" si="185"/>
        <v>32989.336186135006</v>
      </c>
      <c r="BX126" s="5">
        <f t="shared" si="185"/>
        <v>33264.247321019466</v>
      </c>
      <c r="BY126" s="5">
        <f t="shared" si="185"/>
        <v>33541.44938202796</v>
      </c>
      <c r="BZ126" s="5">
        <f t="shared" si="185"/>
        <v>33820.961460211525</v>
      </c>
      <c r="CA126" s="5">
        <f t="shared" si="185"/>
        <v>34102.802805713291</v>
      </c>
      <c r="CB126" s="5">
        <f t="shared" si="185"/>
        <v>34386.992829094233</v>
      </c>
      <c r="CC126" s="5">
        <f t="shared" si="185"/>
        <v>34673.551102670019</v>
      </c>
      <c r="CD126" s="5">
        <f t="shared" si="185"/>
        <v>34962.497361858936</v>
      </c>
      <c r="CE126" s="5">
        <f t="shared" si="185"/>
        <v>35253.85150654109</v>
      </c>
      <c r="CF126" s="5">
        <f t="shared" si="185"/>
        <v>35547.633602428934</v>
      </c>
      <c r="CG126" s="5">
        <f t="shared" si="185"/>
        <v>35843.863882449172</v>
      </c>
      <c r="CH126" s="5">
        <f t="shared" si="185"/>
        <v>36142.562748136246</v>
      </c>
      <c r="CI126" s="5">
        <f t="shared" si="185"/>
        <v>36443.750771037383</v>
      </c>
      <c r="CJ126" s="5">
        <f t="shared" si="185"/>
        <v>36747.448694129358</v>
      </c>
      <c r="CK126" s="5">
        <f t="shared" si="185"/>
        <v>37053.677433247103</v>
      </c>
      <c r="CL126" s="5">
        <f t="shared" si="185"/>
        <v>37362.458078524163</v>
      </c>
      <c r="CM126" s="5">
        <f t="shared" si="185"/>
        <v>37673.811895845196</v>
      </c>
      <c r="CN126" s="5">
        <f t="shared" si="185"/>
        <v>37987.760328310571</v>
      </c>
      <c r="CO126" s="5">
        <f t="shared" si="185"/>
        <v>38304.324997713156</v>
      </c>
      <c r="CP126" s="5">
        <f t="shared" si="185"/>
        <v>38623.527706027431</v>
      </c>
      <c r="CQ126" s="5">
        <f t="shared" si="185"/>
        <v>38945.390436910995</v>
      </c>
      <c r="CR126" s="5">
        <f t="shared" si="185"/>
        <v>39269.935357218586</v>
      </c>
      <c r="CS126" s="5">
        <f t="shared" si="185"/>
        <v>39597.184818528738</v>
      </c>
      <c r="CT126" s="5">
        <f t="shared" si="185"/>
        <v>39927.161358683144</v>
      </c>
      <c r="CU126" s="5">
        <f t="shared" si="185"/>
        <v>40259.887703338834</v>
      </c>
      <c r="CV126" s="5">
        <f t="shared" si="185"/>
        <v>40595.386767533324</v>
      </c>
      <c r="CW126" s="5">
        <f t="shared" si="185"/>
        <v>40933.681657262765</v>
      </c>
      <c r="CX126" s="5">
        <f t="shared" si="185"/>
        <v>41274.795671073283</v>
      </c>
      <c r="CY126" s="5">
        <f t="shared" si="185"/>
        <v>41618.752301665561</v>
      </c>
      <c r="CZ126" s="5">
        <f t="shared" si="185"/>
        <v>41965.57523751277</v>
      </c>
      <c r="DA126" s="5">
        <f t="shared" si="185"/>
        <v>42315.288364492044</v>
      </c>
      <c r="DB126" s="5">
        <f t="shared" si="185"/>
        <v>42667.915767529477</v>
      </c>
      <c r="DC126" s="5">
        <f t="shared" si="185"/>
        <v>43023.481732258886</v>
      </c>
      <c r="DD126" s="5">
        <f t="shared" si="185"/>
        <v>43382.010746694374</v>
      </c>
      <c r="DE126" s="5">
        <f t="shared" si="185"/>
        <v>43743.527502916826</v>
      </c>
      <c r="DF126" s="5">
        <f t="shared" si="185"/>
        <v>44108.056898774463</v>
      </c>
      <c r="DG126" s="5">
        <f t="shared" si="185"/>
        <v>44475.624039597584</v>
      </c>
      <c r="DH126" s="5">
        <f t="shared" si="185"/>
        <v>44846.254239927563</v>
      </c>
      <c r="DI126" s="5">
        <f t="shared" si="185"/>
        <v>45219.973025260289</v>
      </c>
      <c r="DJ126" s="5">
        <f t="shared" si="185"/>
        <v>45596.806133804123</v>
      </c>
      <c r="DK126" s="5">
        <f t="shared" si="185"/>
        <v>45976.779518252486</v>
      </c>
      <c r="DL126" s="5">
        <f t="shared" si="185"/>
        <v>46359.919347571253</v>
      </c>
      <c r="DM126" s="5">
        <f t="shared" si="185"/>
        <v>46746.252008801013</v>
      </c>
      <c r="DN126" s="5">
        <f t="shared" si="185"/>
        <v>47135.804108874356</v>
      </c>
      <c r="DO126" s="5">
        <f t="shared" si="185"/>
        <v>47528.602476448308</v>
      </c>
      <c r="DP126" s="5">
        <f t="shared" si="185"/>
        <v>47924.674163752039</v>
      </c>
      <c r="DQ126" s="5">
        <f t="shared" si="185"/>
        <v>48324.046448449968</v>
      </c>
      <c r="DR126" s="5">
        <f t="shared" si="185"/>
        <v>48726.746835520382</v>
      </c>
      <c r="DS126" s="5">
        <f t="shared" si="185"/>
        <v>49132.803059149715</v>
      </c>
      <c r="DT126" s="5">
        <f t="shared" si="185"/>
        <v>49542.243084642629</v>
      </c>
      <c r="DU126" s="5">
        <f t="shared" si="185"/>
        <v>49955.095110347982</v>
      </c>
      <c r="DV126" s="5">
        <f t="shared" si="185"/>
        <v>50371.387569600884</v>
      </c>
      <c r="DW126" s="5">
        <f t="shared" si="185"/>
        <v>50791.14913268089</v>
      </c>
      <c r="DX126" s="5">
        <f t="shared" si="185"/>
        <v>51214.408708786563</v>
      </c>
      <c r="DY126" s="5">
        <f t="shared" si="185"/>
        <v>51641.195448026447</v>
      </c>
      <c r="DZ126" s="5">
        <f t="shared" si="185"/>
        <v>52071.538743426667</v>
      </c>
      <c r="EA126" s="5">
        <f t="shared" ref="EA126:GL126" si="186">IF(EA95&lt;=$B$92, DZ126*(1+$E$26/12), 0)</f>
        <v>52505.468232955223</v>
      </c>
      <c r="EB126" s="5">
        <f t="shared" si="186"/>
        <v>52943.013801563182</v>
      </c>
      <c r="EC126" s="5">
        <f t="shared" si="186"/>
        <v>53384.205583242874</v>
      </c>
      <c r="ED126" s="5">
        <f t="shared" si="186"/>
        <v>53829.073963103227</v>
      </c>
      <c r="EE126" s="5">
        <f t="shared" si="186"/>
        <v>54277.649579462421</v>
      </c>
      <c r="EF126" s="5">
        <f t="shared" si="186"/>
        <v>54729.963325957942</v>
      </c>
      <c r="EG126" s="5">
        <f t="shared" si="186"/>
        <v>55186.046353674254</v>
      </c>
      <c r="EH126" s="5">
        <f t="shared" si="186"/>
        <v>55645.930073288204</v>
      </c>
      <c r="EI126" s="5">
        <f t="shared" si="186"/>
        <v>56109.646157232273</v>
      </c>
      <c r="EJ126" s="5">
        <f t="shared" si="186"/>
        <v>56577.226541875876</v>
      </c>
      <c r="EK126" s="5">
        <f t="shared" si="186"/>
        <v>57048.703429724839</v>
      </c>
      <c r="EL126" s="5">
        <f t="shared" si="186"/>
        <v>57524.109291639208</v>
      </c>
      <c r="EM126" s="5">
        <f t="shared" si="186"/>
        <v>58003.476869069535</v>
      </c>
      <c r="EN126" s="5">
        <f t="shared" si="186"/>
        <v>58486.839176311776</v>
      </c>
      <c r="EO126" s="5">
        <f t="shared" si="186"/>
        <v>58974.22950278104</v>
      </c>
      <c r="EP126" s="5">
        <f t="shared" si="186"/>
        <v>59465.681415304214</v>
      </c>
      <c r="EQ126" s="5">
        <f t="shared" si="186"/>
        <v>59961.228760431746</v>
      </c>
      <c r="ER126" s="5">
        <f t="shared" si="186"/>
        <v>60460.905666768675</v>
      </c>
      <c r="ES126" s="5">
        <f t="shared" si="186"/>
        <v>60964.746547325078</v>
      </c>
      <c r="ET126" s="5">
        <f t="shared" si="186"/>
        <v>61472.786101886115</v>
      </c>
      <c r="EU126" s="5">
        <f t="shared" si="186"/>
        <v>61985.059319401829</v>
      </c>
      <c r="EV126" s="5">
        <f t="shared" si="186"/>
        <v>62501.601480396843</v>
      </c>
      <c r="EW126" s="5">
        <f t="shared" si="186"/>
        <v>63022.448159400148</v>
      </c>
      <c r="EX126" s="5">
        <f t="shared" si="186"/>
        <v>63547.635227395149</v>
      </c>
      <c r="EY126" s="5">
        <f t="shared" si="186"/>
        <v>64077.198854290109</v>
      </c>
      <c r="EZ126" s="5">
        <f t="shared" si="186"/>
        <v>64611.175511409194</v>
      </c>
      <c r="FA126" s="5">
        <f t="shared" si="186"/>
        <v>65149.601974004268</v>
      </c>
      <c r="FB126" s="5">
        <f t="shared" si="186"/>
        <v>65692.515323787637</v>
      </c>
      <c r="FC126" s="5">
        <f t="shared" si="186"/>
        <v>66239.952951485859</v>
      </c>
      <c r="FD126" s="5">
        <f t="shared" si="186"/>
        <v>66791.952559414902</v>
      </c>
      <c r="FE126" s="5">
        <f t="shared" si="186"/>
        <v>67348.552164076696</v>
      </c>
      <c r="FF126" s="5">
        <f t="shared" si="186"/>
        <v>67909.790098777332</v>
      </c>
      <c r="FG126" s="5">
        <f t="shared" si="186"/>
        <v>68475.705016267137</v>
      </c>
      <c r="FH126" s="5">
        <f t="shared" si="186"/>
        <v>69046.33589140269</v>
      </c>
      <c r="FI126" s="5">
        <f t="shared" si="186"/>
        <v>69621.72202383104</v>
      </c>
      <c r="FJ126" s="5">
        <f t="shared" si="186"/>
        <v>70201.903040696299</v>
      </c>
      <c r="FK126" s="5">
        <f t="shared" si="186"/>
        <v>70786.918899368771</v>
      </c>
      <c r="FL126" s="5">
        <f t="shared" si="186"/>
        <v>71376.809890196848</v>
      </c>
      <c r="FM126" s="5">
        <f t="shared" si="186"/>
        <v>71971.616639281812</v>
      </c>
      <c r="FN126" s="5">
        <f t="shared" si="186"/>
        <v>72571.380111275823</v>
      </c>
      <c r="FO126" s="5">
        <f t="shared" si="186"/>
        <v>73176.141612203122</v>
      </c>
      <c r="FP126" s="5">
        <f t="shared" si="186"/>
        <v>73785.942792304806</v>
      </c>
      <c r="FQ126" s="5">
        <f t="shared" si="186"/>
        <v>74400.825648907339</v>
      </c>
      <c r="FR126" s="5">
        <f t="shared" si="186"/>
        <v>75020.832529314896</v>
      </c>
      <c r="FS126" s="5">
        <f t="shared" si="186"/>
        <v>75646.006133725852</v>
      </c>
      <c r="FT126" s="5">
        <f t="shared" si="186"/>
        <v>76276.389518173572</v>
      </c>
      <c r="FU126" s="5">
        <f t="shared" si="186"/>
        <v>76912.026097491689</v>
      </c>
      <c r="FV126" s="5">
        <f t="shared" si="186"/>
        <v>77552.959648304124</v>
      </c>
      <c r="FW126" s="5">
        <f t="shared" si="186"/>
        <v>78199.234312039989</v>
      </c>
      <c r="FX126" s="5">
        <f t="shared" si="186"/>
        <v>78850.89459797366</v>
      </c>
      <c r="FY126" s="5">
        <f t="shared" si="186"/>
        <v>79507.985386290107</v>
      </c>
      <c r="FZ126" s="5">
        <f t="shared" si="186"/>
        <v>80170.551931175854</v>
      </c>
      <c r="GA126" s="5">
        <f t="shared" si="186"/>
        <v>80838.639863935648</v>
      </c>
      <c r="GB126" s="5">
        <f t="shared" si="186"/>
        <v>81512.295196135106</v>
      </c>
      <c r="GC126" s="5">
        <f t="shared" si="186"/>
        <v>82191.564322769569</v>
      </c>
      <c r="GD126" s="5">
        <f t="shared" si="186"/>
        <v>82876.494025459309</v>
      </c>
      <c r="GE126" s="5">
        <f t="shared" si="186"/>
        <v>83567.131475671471</v>
      </c>
      <c r="GF126" s="5">
        <f t="shared" si="186"/>
        <v>84263.524237968726</v>
      </c>
      <c r="GG126" s="5">
        <f t="shared" si="186"/>
        <v>84965.720273285129</v>
      </c>
      <c r="GH126" s="5">
        <f t="shared" si="186"/>
        <v>85673.767942229169</v>
      </c>
      <c r="GI126" s="5">
        <f t="shared" si="186"/>
        <v>86387.716008414412</v>
      </c>
      <c r="GJ126" s="5">
        <f t="shared" si="186"/>
        <v>87107.613641817865</v>
      </c>
      <c r="GK126" s="5">
        <f t="shared" si="186"/>
        <v>87833.51042216635</v>
      </c>
      <c r="GL126" s="5">
        <f t="shared" si="186"/>
        <v>88565.45634235107</v>
      </c>
      <c r="GM126" s="5">
        <f t="shared" ref="GM126:IX126" si="187">IF(GM95&lt;=$B$92, GL126*(1+$E$26/12), 0)</f>
        <v>89303.501811870665</v>
      </c>
      <c r="GN126" s="5">
        <f t="shared" si="187"/>
        <v>90047.697660302918</v>
      </c>
      <c r="GO126" s="5">
        <f t="shared" si="187"/>
        <v>90798.095140805439</v>
      </c>
      <c r="GP126" s="5">
        <f t="shared" si="187"/>
        <v>91554.745933645478</v>
      </c>
      <c r="GQ126" s="5">
        <f t="shared" si="187"/>
        <v>92317.702149759192</v>
      </c>
      <c r="GR126" s="5">
        <f t="shared" si="187"/>
        <v>93087.016334340515</v>
      </c>
      <c r="GS126" s="5">
        <f t="shared" si="187"/>
        <v>93862.741470460023</v>
      </c>
      <c r="GT126" s="5">
        <f t="shared" si="187"/>
        <v>94644.93098271385</v>
      </c>
      <c r="GU126" s="5">
        <f t="shared" si="187"/>
        <v>95433.63874090313</v>
      </c>
      <c r="GV126" s="5">
        <f t="shared" si="187"/>
        <v>96228.91906374399</v>
      </c>
      <c r="GW126" s="5">
        <f t="shared" si="187"/>
        <v>97030.826722608515</v>
      </c>
      <c r="GX126" s="5">
        <f t="shared" si="187"/>
        <v>97839.416945296922</v>
      </c>
      <c r="GY126" s="5">
        <f t="shared" si="187"/>
        <v>98654.745419841056</v>
      </c>
      <c r="GZ126" s="5">
        <f t="shared" si="187"/>
        <v>99476.86829833973</v>
      </c>
      <c r="HA126" s="5">
        <f t="shared" si="187"/>
        <v>100305.84220082589</v>
      </c>
      <c r="HB126" s="5">
        <f t="shared" si="187"/>
        <v>101141.72421916611</v>
      </c>
      <c r="HC126" s="5">
        <f t="shared" si="187"/>
        <v>101984.57192099249</v>
      </c>
      <c r="HD126" s="5">
        <f t="shared" si="187"/>
        <v>102834.44335366742</v>
      </c>
      <c r="HE126" s="5">
        <f t="shared" si="187"/>
        <v>103691.39704828132</v>
      </c>
      <c r="HF126" s="5">
        <f t="shared" si="187"/>
        <v>104555.49202368366</v>
      </c>
      <c r="HG126" s="5">
        <f t="shared" si="187"/>
        <v>105426.78779054769</v>
      </c>
      <c r="HH126" s="5">
        <f t="shared" si="187"/>
        <v>106305.34435546891</v>
      </c>
      <c r="HI126" s="5">
        <f t="shared" si="187"/>
        <v>107191.22222509782</v>
      </c>
      <c r="HJ126" s="5">
        <f t="shared" si="187"/>
        <v>108084.48241030697</v>
      </c>
      <c r="HK126" s="5">
        <f t="shared" si="187"/>
        <v>108985.18643039286</v>
      </c>
      <c r="HL126" s="5">
        <f t="shared" si="187"/>
        <v>109893.3963173128</v>
      </c>
      <c r="HM126" s="5">
        <f t="shared" si="187"/>
        <v>110809.17461995706</v>
      </c>
      <c r="HN126" s="5">
        <f t="shared" si="187"/>
        <v>111732.58440845671</v>
      </c>
      <c r="HO126" s="5">
        <f t="shared" si="187"/>
        <v>112663.68927852718</v>
      </c>
      <c r="HP126" s="5">
        <f t="shared" si="187"/>
        <v>113602.55335584823</v>
      </c>
      <c r="HQ126" s="5">
        <f t="shared" si="187"/>
        <v>114549.24130048029</v>
      </c>
      <c r="HR126" s="5">
        <f t="shared" si="187"/>
        <v>115503.81831131762</v>
      </c>
      <c r="HS126" s="5">
        <f t="shared" si="187"/>
        <v>116466.35013057859</v>
      </c>
      <c r="HT126" s="5">
        <f t="shared" si="187"/>
        <v>117436.90304833341</v>
      </c>
      <c r="HU126" s="5">
        <f t="shared" si="187"/>
        <v>118415.54390706951</v>
      </c>
      <c r="HV126" s="5">
        <f t="shared" si="187"/>
        <v>119402.34010629509</v>
      </c>
      <c r="HW126" s="5">
        <f t="shared" si="187"/>
        <v>120397.35960718087</v>
      </c>
      <c r="HX126" s="5">
        <f t="shared" si="187"/>
        <v>121400.67093724071</v>
      </c>
      <c r="HY126" s="5">
        <f t="shared" si="187"/>
        <v>122412.34319505104</v>
      </c>
      <c r="HZ126" s="5">
        <f t="shared" si="187"/>
        <v>123432.4460550098</v>
      </c>
      <c r="IA126" s="5">
        <f t="shared" si="187"/>
        <v>124461.04977213488</v>
      </c>
      <c r="IB126" s="5">
        <f t="shared" si="187"/>
        <v>125498.22518690267</v>
      </c>
      <c r="IC126" s="5">
        <f t="shared" si="187"/>
        <v>126544.04373012685</v>
      </c>
      <c r="ID126" s="5">
        <f t="shared" si="187"/>
        <v>127598.57742787791</v>
      </c>
      <c r="IE126" s="5">
        <f t="shared" si="187"/>
        <v>128661.89890644356</v>
      </c>
      <c r="IF126" s="5">
        <f t="shared" si="187"/>
        <v>129734.08139733059</v>
      </c>
      <c r="IG126" s="5">
        <f t="shared" si="187"/>
        <v>130815.19874230835</v>
      </c>
      <c r="IH126" s="5">
        <f t="shared" si="187"/>
        <v>131905.32539849426</v>
      </c>
      <c r="II126" s="5">
        <f t="shared" si="187"/>
        <v>133004.53644348172</v>
      </c>
      <c r="IJ126" s="5">
        <f t="shared" si="187"/>
        <v>134112.90758051071</v>
      </c>
      <c r="IK126" s="5">
        <f t="shared" si="187"/>
        <v>135230.51514368164</v>
      </c>
      <c r="IL126" s="5">
        <f t="shared" si="187"/>
        <v>136357.43610321233</v>
      </c>
      <c r="IM126" s="5">
        <f t="shared" si="187"/>
        <v>137493.74807073909</v>
      </c>
      <c r="IN126" s="5">
        <f t="shared" si="187"/>
        <v>138639.5293046619</v>
      </c>
      <c r="IO126" s="5">
        <f t="shared" si="187"/>
        <v>139794.85871553409</v>
      </c>
      <c r="IP126" s="5">
        <f t="shared" si="187"/>
        <v>140959.81587149686</v>
      </c>
      <c r="IQ126" s="5">
        <f t="shared" si="187"/>
        <v>142134.48100375934</v>
      </c>
      <c r="IR126" s="5">
        <f t="shared" si="187"/>
        <v>143318.93501212398</v>
      </c>
      <c r="IS126" s="5">
        <f t="shared" si="187"/>
        <v>144513.25947055835</v>
      </c>
      <c r="IT126" s="5">
        <f t="shared" si="187"/>
        <v>145717.53663281299</v>
      </c>
      <c r="IU126" s="5">
        <f t="shared" si="187"/>
        <v>146931.84943808641</v>
      </c>
      <c r="IV126" s="5">
        <f t="shared" si="187"/>
        <v>148156.28151673713</v>
      </c>
      <c r="IW126" s="5">
        <f t="shared" si="187"/>
        <v>149390.91719604327</v>
      </c>
      <c r="IX126" s="5">
        <f t="shared" si="187"/>
        <v>150635.8415060103</v>
      </c>
      <c r="IY126" s="5">
        <f t="shared" ref="IY126:LJ126" si="188">IF(IY95&lt;=$B$92, IX126*(1+$E$26/12), 0)</f>
        <v>151891.14018522704</v>
      </c>
      <c r="IZ126" s="5">
        <f t="shared" si="188"/>
        <v>153156.8996867706</v>
      </c>
      <c r="JA126" s="5">
        <f t="shared" si="188"/>
        <v>154433.20718416036</v>
      </c>
      <c r="JB126" s="5">
        <f t="shared" si="188"/>
        <v>155720.1505773617</v>
      </c>
      <c r="JC126" s="5">
        <f t="shared" si="188"/>
        <v>157017.81849883971</v>
      </c>
      <c r="JD126" s="5">
        <f t="shared" si="188"/>
        <v>158326.30031966337</v>
      </c>
      <c r="JE126" s="5">
        <f t="shared" si="188"/>
        <v>159645.68615566054</v>
      </c>
      <c r="JF126" s="5">
        <f t="shared" si="188"/>
        <v>160976.06687362437</v>
      </c>
      <c r="JG126" s="5">
        <f t="shared" si="188"/>
        <v>162317.53409757125</v>
      </c>
      <c r="JH126" s="5">
        <f t="shared" si="188"/>
        <v>163670.18021505099</v>
      </c>
      <c r="JI126" s="5">
        <f t="shared" si="188"/>
        <v>165034.09838350976</v>
      </c>
      <c r="JJ126" s="5">
        <f t="shared" si="188"/>
        <v>166409.38253670567</v>
      </c>
      <c r="JK126" s="5">
        <f t="shared" si="188"/>
        <v>167796.12739117822</v>
      </c>
      <c r="JL126" s="5">
        <f t="shared" si="188"/>
        <v>169194.42845277136</v>
      </c>
      <c r="JM126" s="5">
        <f t="shared" si="188"/>
        <v>170604.3820232111</v>
      </c>
      <c r="JN126" s="5">
        <f t="shared" si="188"/>
        <v>172026.08520673786</v>
      </c>
      <c r="JO126" s="5">
        <f t="shared" si="188"/>
        <v>173459.63591679401</v>
      </c>
      <c r="JP126" s="5">
        <f t="shared" si="188"/>
        <v>174905.1328827673</v>
      </c>
      <c r="JQ126" s="5">
        <f t="shared" si="188"/>
        <v>176362.67565679035</v>
      </c>
      <c r="JR126" s="5">
        <f t="shared" si="188"/>
        <v>177832.36462059693</v>
      </c>
      <c r="JS126" s="5">
        <f t="shared" si="188"/>
        <v>179314.30099243522</v>
      </c>
      <c r="JT126" s="5">
        <f t="shared" si="188"/>
        <v>180808.58683403884</v>
      </c>
      <c r="JU126" s="5">
        <f t="shared" si="188"/>
        <v>182315.32505765583</v>
      </c>
      <c r="JV126" s="5">
        <f t="shared" si="188"/>
        <v>183834.61943313631</v>
      </c>
      <c r="JW126" s="5">
        <f t="shared" si="188"/>
        <v>185366.57459507912</v>
      </c>
      <c r="JX126" s="5">
        <f t="shared" si="188"/>
        <v>186911.2960500381</v>
      </c>
      <c r="JY126" s="5">
        <f t="shared" si="188"/>
        <v>188468.8901837884</v>
      </c>
      <c r="JZ126" s="5">
        <f t="shared" si="188"/>
        <v>190039.4642686533</v>
      </c>
      <c r="KA126" s="5">
        <f t="shared" si="188"/>
        <v>191623.12647089208</v>
      </c>
      <c r="KB126" s="5">
        <f t="shared" si="188"/>
        <v>193219.98585814951</v>
      </c>
      <c r="KC126" s="5">
        <f t="shared" si="188"/>
        <v>194830.15240696742</v>
      </c>
      <c r="KD126" s="5">
        <f t="shared" si="188"/>
        <v>196453.7370103588</v>
      </c>
      <c r="KE126" s="5">
        <f t="shared" si="188"/>
        <v>198090.85148544514</v>
      </c>
      <c r="KF126" s="5">
        <f t="shared" si="188"/>
        <v>199741.60858115717</v>
      </c>
      <c r="KG126" s="5">
        <f t="shared" si="188"/>
        <v>201406.12198600013</v>
      </c>
      <c r="KH126" s="5">
        <f t="shared" si="188"/>
        <v>203084.50633588346</v>
      </c>
      <c r="KI126" s="5">
        <f t="shared" si="188"/>
        <v>204776.87722201581</v>
      </c>
      <c r="KJ126" s="5">
        <f t="shared" si="188"/>
        <v>206483.35119886594</v>
      </c>
      <c r="KK126" s="5">
        <f t="shared" si="188"/>
        <v>208204.04579218983</v>
      </c>
      <c r="KL126" s="5">
        <f t="shared" si="188"/>
        <v>209939.07950712476</v>
      </c>
      <c r="KM126" s="5">
        <f t="shared" si="188"/>
        <v>211688.57183635078</v>
      </c>
      <c r="KN126" s="5">
        <f t="shared" si="188"/>
        <v>213452.64326832036</v>
      </c>
      <c r="KO126" s="5">
        <f t="shared" si="188"/>
        <v>215231.41529555636</v>
      </c>
      <c r="KP126" s="5">
        <f t="shared" si="188"/>
        <v>217025.01042301932</v>
      </c>
      <c r="KQ126" s="5">
        <f t="shared" si="188"/>
        <v>218833.55217654447</v>
      </c>
      <c r="KR126" s="5">
        <f t="shared" si="188"/>
        <v>220657.16511134899</v>
      </c>
      <c r="KS126" s="5">
        <f t="shared" si="188"/>
        <v>222495.97482061022</v>
      </c>
      <c r="KT126" s="5">
        <f t="shared" si="188"/>
        <v>224350.1079441153</v>
      </c>
      <c r="KU126" s="5">
        <f t="shared" si="188"/>
        <v>226219.69217698291</v>
      </c>
      <c r="KV126" s="5">
        <f t="shared" si="188"/>
        <v>228104.85627845777</v>
      </c>
      <c r="KW126" s="5">
        <f t="shared" si="188"/>
        <v>230005.73008077824</v>
      </c>
      <c r="KX126" s="5">
        <f t="shared" si="188"/>
        <v>231922.44449811804</v>
      </c>
      <c r="KY126" s="5">
        <f t="shared" si="188"/>
        <v>233855.13153560236</v>
      </c>
      <c r="KZ126" s="5">
        <f t="shared" si="188"/>
        <v>235803.92429839904</v>
      </c>
      <c r="LA126" s="5">
        <f t="shared" si="188"/>
        <v>237768.95700088568</v>
      </c>
      <c r="LB126" s="5">
        <f t="shared" si="188"/>
        <v>239750.36497589306</v>
      </c>
      <c r="LC126" s="5">
        <f t="shared" si="188"/>
        <v>241748.28468402548</v>
      </c>
      <c r="LD126" s="5">
        <f t="shared" si="188"/>
        <v>243762.85372305903</v>
      </c>
      <c r="LE126" s="5">
        <f t="shared" si="188"/>
        <v>245794.21083741784</v>
      </c>
      <c r="LF126" s="5">
        <f t="shared" si="188"/>
        <v>247842.49592772964</v>
      </c>
      <c r="LG126" s="5">
        <f t="shared" si="188"/>
        <v>249907.85006046071</v>
      </c>
      <c r="LH126" s="5">
        <f t="shared" si="188"/>
        <v>251990.41547763121</v>
      </c>
      <c r="LI126" s="5">
        <f t="shared" si="188"/>
        <v>254090.33560661145</v>
      </c>
      <c r="LJ126" s="5">
        <f t="shared" si="188"/>
        <v>256207.75506999987</v>
      </c>
      <c r="LK126" s="5">
        <f t="shared" ref="LK126:NV126" si="189">IF(LK95&lt;=$B$92, LJ126*(1+$E$26/12), 0)</f>
        <v>258342.8196955832</v>
      </c>
      <c r="LL126" s="5">
        <f t="shared" si="189"/>
        <v>260495.67652637971</v>
      </c>
      <c r="LM126" s="5">
        <f t="shared" si="189"/>
        <v>262666.47383076622</v>
      </c>
      <c r="LN126" s="5">
        <f t="shared" si="189"/>
        <v>264855.36111268925</v>
      </c>
      <c r="LO126" s="5">
        <f t="shared" si="189"/>
        <v>267062.48912196164</v>
      </c>
      <c r="LP126" s="5">
        <f t="shared" si="189"/>
        <v>269288.00986464467</v>
      </c>
      <c r="LQ126" s="5">
        <f t="shared" si="189"/>
        <v>271532.07661351672</v>
      </c>
      <c r="LR126" s="5">
        <f t="shared" si="189"/>
        <v>273794.84391862934</v>
      </c>
      <c r="LS126" s="5">
        <f t="shared" si="189"/>
        <v>276076.46761795122</v>
      </c>
      <c r="LT126" s="5">
        <f t="shared" si="189"/>
        <v>278377.1048481008</v>
      </c>
      <c r="LU126" s="5">
        <f t="shared" si="189"/>
        <v>280696.91405516828</v>
      </c>
      <c r="LV126" s="5">
        <f t="shared" si="189"/>
        <v>283036.05500562803</v>
      </c>
      <c r="LW126" s="5">
        <f t="shared" si="189"/>
        <v>285394.6887973416</v>
      </c>
      <c r="LX126" s="5">
        <f t="shared" si="189"/>
        <v>287772.9778706528</v>
      </c>
      <c r="LY126" s="5">
        <f t="shared" si="189"/>
        <v>290171.0860195749</v>
      </c>
      <c r="LZ126" s="5">
        <f t="shared" si="189"/>
        <v>292589.17840307136</v>
      </c>
      <c r="MA126" s="5">
        <f t="shared" si="189"/>
        <v>295027.42155643029</v>
      </c>
      <c r="MB126" s="5">
        <f t="shared" si="189"/>
        <v>297485.98340273387</v>
      </c>
      <c r="MC126" s="5">
        <f t="shared" si="189"/>
        <v>299965.03326442331</v>
      </c>
      <c r="MD126" s="5">
        <f t="shared" si="189"/>
        <v>302464.74187496019</v>
      </c>
      <c r="ME126" s="5">
        <f t="shared" si="189"/>
        <v>304985.28139058483</v>
      </c>
      <c r="MF126" s="5">
        <f t="shared" si="189"/>
        <v>307526.82540217304</v>
      </c>
      <c r="MG126" s="5">
        <f t="shared" si="189"/>
        <v>310089.54894719116</v>
      </c>
      <c r="MH126" s="5">
        <f t="shared" si="189"/>
        <v>312673.62852175109</v>
      </c>
      <c r="MI126" s="5">
        <f t="shared" si="189"/>
        <v>315279.24209276569</v>
      </c>
      <c r="MJ126" s="5">
        <f t="shared" si="189"/>
        <v>317906.5691102054</v>
      </c>
      <c r="MK126" s="5">
        <f t="shared" si="189"/>
        <v>320555.79051945708</v>
      </c>
      <c r="ML126" s="5">
        <f t="shared" si="189"/>
        <v>323227.08877378586</v>
      </c>
      <c r="MM126" s="5">
        <f t="shared" si="189"/>
        <v>325920.64784690074</v>
      </c>
      <c r="MN126" s="5">
        <f t="shared" si="189"/>
        <v>328636.65324562491</v>
      </c>
      <c r="MO126" s="5">
        <f t="shared" si="189"/>
        <v>331375.29202267178</v>
      </c>
      <c r="MP126" s="5">
        <f t="shared" si="189"/>
        <v>334136.75278952735</v>
      </c>
      <c r="MQ126" s="5">
        <f t="shared" si="189"/>
        <v>336921.22572944005</v>
      </c>
      <c r="MR126" s="5">
        <f t="shared" si="189"/>
        <v>339728.90261051868</v>
      </c>
      <c r="MS126" s="5">
        <f t="shared" si="189"/>
        <v>342559.97679893964</v>
      </c>
      <c r="MT126" s="5">
        <f t="shared" si="189"/>
        <v>345414.6432722641</v>
      </c>
      <c r="MU126" s="5">
        <f t="shared" si="189"/>
        <v>348293.09863286628</v>
      </c>
      <c r="MV126" s="5">
        <f t="shared" si="189"/>
        <v>351195.54112147348</v>
      </c>
      <c r="MW126" s="5">
        <f t="shared" si="189"/>
        <v>354122.17063081911</v>
      </c>
      <c r="MX126" s="5">
        <f t="shared" si="189"/>
        <v>357073.18871940923</v>
      </c>
      <c r="MY126" s="5">
        <f t="shared" si="189"/>
        <v>0</v>
      </c>
      <c r="MZ126" s="5">
        <f t="shared" si="189"/>
        <v>0</v>
      </c>
      <c r="NA126" s="5">
        <f t="shared" si="189"/>
        <v>0</v>
      </c>
      <c r="NB126" s="5">
        <f t="shared" si="189"/>
        <v>0</v>
      </c>
      <c r="NC126" s="5">
        <f t="shared" si="189"/>
        <v>0</v>
      </c>
      <c r="ND126" s="5">
        <f t="shared" si="189"/>
        <v>0</v>
      </c>
      <c r="NE126" s="5">
        <f t="shared" si="189"/>
        <v>0</v>
      </c>
      <c r="NF126" s="5">
        <f t="shared" si="189"/>
        <v>0</v>
      </c>
      <c r="NG126" s="5">
        <f t="shared" si="189"/>
        <v>0</v>
      </c>
      <c r="NH126" s="5">
        <f t="shared" si="189"/>
        <v>0</v>
      </c>
      <c r="NI126" s="5">
        <f t="shared" si="189"/>
        <v>0</v>
      </c>
      <c r="NJ126" s="5">
        <f t="shared" si="189"/>
        <v>0</v>
      </c>
      <c r="NK126" s="5">
        <f t="shared" si="189"/>
        <v>0</v>
      </c>
      <c r="NL126" s="5">
        <f t="shared" si="189"/>
        <v>0</v>
      </c>
      <c r="NM126" s="5">
        <f t="shared" si="189"/>
        <v>0</v>
      </c>
      <c r="NN126" s="5">
        <f t="shared" si="189"/>
        <v>0</v>
      </c>
      <c r="NO126" s="5">
        <f t="shared" si="189"/>
        <v>0</v>
      </c>
      <c r="NP126" s="5">
        <f t="shared" si="189"/>
        <v>0</v>
      </c>
      <c r="NQ126" s="5">
        <f t="shared" si="189"/>
        <v>0</v>
      </c>
      <c r="NR126" s="5">
        <f t="shared" si="189"/>
        <v>0</v>
      </c>
      <c r="NS126" s="5">
        <f t="shared" si="189"/>
        <v>0</v>
      </c>
      <c r="NT126" s="5">
        <f t="shared" si="189"/>
        <v>0</v>
      </c>
      <c r="NU126" s="5">
        <f t="shared" si="189"/>
        <v>0</v>
      </c>
      <c r="NV126" s="5">
        <f t="shared" si="189"/>
        <v>0</v>
      </c>
      <c r="NW126" s="5">
        <f t="shared" ref="NW126:PF126" si="190">IF(NW95&lt;=$B$92, NV126*(1+$E$26/12), 0)</f>
        <v>0</v>
      </c>
      <c r="NX126" s="5">
        <f t="shared" si="190"/>
        <v>0</v>
      </c>
      <c r="NY126" s="5">
        <f t="shared" si="190"/>
        <v>0</v>
      </c>
      <c r="NZ126" s="5">
        <f t="shared" si="190"/>
        <v>0</v>
      </c>
      <c r="OA126" s="5">
        <f t="shared" si="190"/>
        <v>0</v>
      </c>
      <c r="OB126" s="5">
        <f t="shared" si="190"/>
        <v>0</v>
      </c>
      <c r="OC126" s="5">
        <f t="shared" si="190"/>
        <v>0</v>
      </c>
      <c r="OD126" s="5">
        <f t="shared" si="190"/>
        <v>0</v>
      </c>
      <c r="OE126" s="5">
        <f t="shared" si="190"/>
        <v>0</v>
      </c>
      <c r="OF126" s="5">
        <f t="shared" si="190"/>
        <v>0</v>
      </c>
      <c r="OG126" s="5">
        <f t="shared" si="190"/>
        <v>0</v>
      </c>
      <c r="OH126" s="5">
        <f t="shared" si="190"/>
        <v>0</v>
      </c>
      <c r="OI126" s="5">
        <f t="shared" si="190"/>
        <v>0</v>
      </c>
      <c r="OJ126" s="5">
        <f t="shared" si="190"/>
        <v>0</v>
      </c>
      <c r="OK126" s="5">
        <f t="shared" si="190"/>
        <v>0</v>
      </c>
      <c r="OL126" s="5">
        <f t="shared" si="190"/>
        <v>0</v>
      </c>
      <c r="OM126" s="5">
        <f t="shared" si="190"/>
        <v>0</v>
      </c>
      <c r="ON126" s="5">
        <f t="shared" si="190"/>
        <v>0</v>
      </c>
      <c r="OO126" s="5">
        <f t="shared" si="190"/>
        <v>0</v>
      </c>
      <c r="OP126" s="5">
        <f t="shared" si="190"/>
        <v>0</v>
      </c>
      <c r="OQ126" s="5">
        <f t="shared" si="190"/>
        <v>0</v>
      </c>
      <c r="OR126" s="5">
        <f t="shared" si="190"/>
        <v>0</v>
      </c>
      <c r="OS126" s="5">
        <f t="shared" si="190"/>
        <v>0</v>
      </c>
      <c r="OT126" s="5">
        <f t="shared" si="190"/>
        <v>0</v>
      </c>
      <c r="OU126" s="5">
        <f t="shared" si="190"/>
        <v>0</v>
      </c>
      <c r="OV126" s="5">
        <f t="shared" si="190"/>
        <v>0</v>
      </c>
      <c r="OW126" s="5">
        <f t="shared" si="190"/>
        <v>0</v>
      </c>
      <c r="OX126" s="5">
        <f t="shared" si="190"/>
        <v>0</v>
      </c>
      <c r="OY126" s="5">
        <f t="shared" si="190"/>
        <v>0</v>
      </c>
      <c r="OZ126" s="5">
        <f t="shared" si="190"/>
        <v>0</v>
      </c>
      <c r="PA126" s="5">
        <f t="shared" si="190"/>
        <v>0</v>
      </c>
      <c r="PB126" s="5">
        <f t="shared" si="190"/>
        <v>0</v>
      </c>
      <c r="PC126" s="5">
        <f t="shared" si="190"/>
        <v>0</v>
      </c>
      <c r="PD126" s="5">
        <f t="shared" si="190"/>
        <v>0</v>
      </c>
      <c r="PE126" s="5">
        <f t="shared" si="190"/>
        <v>0</v>
      </c>
      <c r="PF126" s="5">
        <f t="shared" si="190"/>
        <v>0</v>
      </c>
    </row>
    <row r="127" spans="1:422" hidden="1">
      <c r="A127" s="6" t="s">
        <v>53</v>
      </c>
      <c r="B127" s="22">
        <f>E25</f>
        <v>0.3</v>
      </c>
      <c r="C127" s="18">
        <f>$B$127*MIN(C126, 0.5*C125, MAX((C121-0.1*C125), 0))</f>
        <v>4527.4999999999991</v>
      </c>
      <c r="D127" s="5">
        <f t="shared" ref="D127:BO127" si="191">$B$127*MIN(D126, 0.5*D125, MAX((D121-0.1*D125), 0))</f>
        <v>4555.1624999999995</v>
      </c>
      <c r="E127" s="5">
        <f t="shared" si="191"/>
        <v>4582.9884097222211</v>
      </c>
      <c r="F127" s="5">
        <f t="shared" si="191"/>
        <v>4610.9786435069427</v>
      </c>
      <c r="G127" s="5">
        <f t="shared" si="191"/>
        <v>4639.1341203312286</v>
      </c>
      <c r="H127" s="5">
        <f t="shared" si="191"/>
        <v>4667.4557638276847</v>
      </c>
      <c r="I127" s="5">
        <f t="shared" si="191"/>
        <v>4695.9445023032349</v>
      </c>
      <c r="J127" s="5">
        <f t="shared" si="191"/>
        <v>4724.6012687579278</v>
      </c>
      <c r="K127" s="5">
        <f t="shared" si="191"/>
        <v>4753.4270009037582</v>
      </c>
      <c r="L127" s="5">
        <f t="shared" si="191"/>
        <v>4782.4226411835107</v>
      </c>
      <c r="M127" s="5">
        <f t="shared" si="191"/>
        <v>4811.5891367896329</v>
      </c>
      <c r="N127" s="5">
        <f t="shared" si="191"/>
        <v>4840.9274396831142</v>
      </c>
      <c r="O127" s="5">
        <f t="shared" si="191"/>
        <v>4870.4385066123978</v>
      </c>
      <c r="P127" s="5">
        <f t="shared" si="191"/>
        <v>4900.1232991323059</v>
      </c>
      <c r="Q127" s="5">
        <f t="shared" si="191"/>
        <v>4929.982783622977</v>
      </c>
      <c r="R127" s="5">
        <f t="shared" si="191"/>
        <v>4960.0179313088356</v>
      </c>
      <c r="S127" s="5">
        <f t="shared" si="191"/>
        <v>4990.2297182775574</v>
      </c>
      <c r="T127" s="5">
        <f t="shared" si="191"/>
        <v>5020.6191254990708</v>
      </c>
      <c r="U127" s="5">
        <f t="shared" si="191"/>
        <v>5051.1871388445597</v>
      </c>
      <c r="V127" s="5">
        <f t="shared" si="191"/>
        <v>5081.9347491054805</v>
      </c>
      <c r="W127" s="5">
        <f t="shared" si="191"/>
        <v>5112.8629520126005</v>
      </c>
      <c r="X127" s="5">
        <f t="shared" si="191"/>
        <v>5143.9727482550434</v>
      </c>
      <c r="Y127" s="5">
        <f t="shared" si="191"/>
        <v>5175.265143499345</v>
      </c>
      <c r="Z127" s="5">
        <f t="shared" si="191"/>
        <v>5206.7411484085205</v>
      </c>
      <c r="AA127" s="5">
        <f t="shared" si="191"/>
        <v>5238.4017786611375</v>
      </c>
      <c r="AB127" s="5">
        <f t="shared" si="191"/>
        <v>5270.2480549704105</v>
      </c>
      <c r="AC127" s="5">
        <f t="shared" si="191"/>
        <v>5302.2810031032859</v>
      </c>
      <c r="AD127" s="5">
        <f t="shared" si="191"/>
        <v>5334.5016538995451</v>
      </c>
      <c r="AE127" s="5">
        <f t="shared" si="191"/>
        <v>5366.9110432909092</v>
      </c>
      <c r="AF127" s="5">
        <f t="shared" si="191"/>
        <v>5399.5102123201495</v>
      </c>
      <c r="AG127" s="5">
        <f t="shared" si="191"/>
        <v>5432.3002071602004</v>
      </c>
      <c r="AH127" s="5">
        <f t="shared" si="191"/>
        <v>5465.2820791332788</v>
      </c>
      <c r="AI127" s="5">
        <f t="shared" si="191"/>
        <v>5498.4568847299997</v>
      </c>
      <c r="AJ127" s="5">
        <f t="shared" si="191"/>
        <v>5531.8256856284979</v>
      </c>
      <c r="AK127" s="5">
        <f t="shared" si="191"/>
        <v>5565.3895487135451</v>
      </c>
      <c r="AL127" s="5">
        <f t="shared" si="191"/>
        <v>5599.1495460956648</v>
      </c>
      <c r="AM127" s="5">
        <f t="shared" si="191"/>
        <v>5633.1067551302558</v>
      </c>
      <c r="AN127" s="5">
        <f t="shared" si="191"/>
        <v>5667.2622584366927</v>
      </c>
      <c r="AO127" s="5">
        <f t="shared" si="191"/>
        <v>5701.6171439174404</v>
      </c>
      <c r="AP127" s="5">
        <f t="shared" si="191"/>
        <v>5736.1725047771542</v>
      </c>
      <c r="AQ127" s="5">
        <f t="shared" si="191"/>
        <v>5770.9294395417692</v>
      </c>
      <c r="AR127" s="5">
        <f t="shared" si="191"/>
        <v>5805.8890520775858</v>
      </c>
      <c r="AS127" s="5">
        <f t="shared" si="191"/>
        <v>5841.052451610356</v>
      </c>
      <c r="AT127" s="5">
        <f t="shared" si="191"/>
        <v>5876.420752744335</v>
      </c>
      <c r="AU127" s="5">
        <f t="shared" si="191"/>
        <v>5911.9950754813444</v>
      </c>
      <c r="AV127" s="5">
        <f t="shared" si="191"/>
        <v>5947.7765452398125</v>
      </c>
      <c r="AW127" s="5">
        <f t="shared" si="191"/>
        <v>5983.7662928737982</v>
      </c>
      <c r="AX127" s="5">
        <f t="shared" si="191"/>
        <v>6019.9654546920019</v>
      </c>
      <c r="AY127" s="5">
        <f t="shared" si="191"/>
        <v>6056.3751724767635</v>
      </c>
      <c r="AZ127" s="5">
        <f t="shared" si="191"/>
        <v>6092.996593503035</v>
      </c>
      <c r="BA127" s="5">
        <f t="shared" si="191"/>
        <v>6129.8308705573427</v>
      </c>
      <c r="BB127" s="5">
        <f t="shared" si="191"/>
        <v>6166.8791619567137</v>
      </c>
      <c r="BC127" s="5">
        <f t="shared" si="191"/>
        <v>6204.142631567599</v>
      </c>
      <c r="BD127" s="5">
        <f t="shared" si="191"/>
        <v>6241.6224488247626</v>
      </c>
      <c r="BE127" s="5">
        <f t="shared" si="191"/>
        <v>6279.3197887501401</v>
      </c>
      <c r="BF127" s="5">
        <f t="shared" si="191"/>
        <v>6317.2358319716859</v>
      </c>
      <c r="BG127" s="5">
        <f t="shared" si="191"/>
        <v>6355.3717647421799</v>
      </c>
      <c r="BH127" s="5">
        <f t="shared" si="191"/>
        <v>6393.7287789580114</v>
      </c>
      <c r="BI127" s="5">
        <f t="shared" si="191"/>
        <v>6432.3080721779261</v>
      </c>
      <c r="BJ127" s="5">
        <f t="shared" si="191"/>
        <v>6471.1108476417539</v>
      </c>
      <c r="BK127" s="5">
        <f t="shared" si="191"/>
        <v>6510.1383142890863</v>
      </c>
      <c r="BL127" s="5">
        <f t="shared" si="191"/>
        <v>6549.3916867779253</v>
      </c>
      <c r="BM127" s="5">
        <f t="shared" si="191"/>
        <v>6588.8721855033027</v>
      </c>
      <c r="BN127" s="5">
        <f t="shared" si="191"/>
        <v>6628.5810366158494</v>
      </c>
      <c r="BO127" s="5">
        <f t="shared" si="191"/>
        <v>6668.519472040336</v>
      </c>
      <c r="BP127" s="5">
        <f t="shared" ref="BP127:DV127" si="192">$B$127*MIN(BP126, 0.5*BP125, MAX((BP121-0.1*BP125), 0))</f>
        <v>6708.6887294941571</v>
      </c>
      <c r="BQ127" s="5">
        <f t="shared" si="192"/>
        <v>6749.0900525057814</v>
      </c>
      <c r="BR127" s="5">
        <f t="shared" si="192"/>
        <v>6789.7246904331641</v>
      </c>
      <c r="BS127" s="5">
        <f t="shared" si="192"/>
        <v>6830.5938984820959</v>
      </c>
      <c r="BT127" s="5">
        <f t="shared" si="192"/>
        <v>6871.6989377245163</v>
      </c>
      <c r="BU127" s="5">
        <f t="shared" si="192"/>
        <v>6913.0410751167674</v>
      </c>
      <c r="BV127" s="5">
        <f t="shared" si="192"/>
        <v>6954.6215835178082</v>
      </c>
      <c r="BW127" s="5">
        <f t="shared" si="192"/>
        <v>6996.4417417073564</v>
      </c>
      <c r="BX127" s="5">
        <f t="shared" si="192"/>
        <v>7038.5028344039974</v>
      </c>
      <c r="BY127" s="5">
        <f t="shared" si="192"/>
        <v>7080.806152283214</v>
      </c>
      <c r="BZ127" s="5">
        <f t="shared" si="192"/>
        <v>7123.3529919953744</v>
      </c>
      <c r="CA127" s="5">
        <f t="shared" si="192"/>
        <v>7166.1446561836483</v>
      </c>
      <c r="CB127" s="5">
        <f t="shared" si="192"/>
        <v>7209.1824535018559</v>
      </c>
      <c r="CC127" s="5">
        <f t="shared" si="192"/>
        <v>7252.4676986322711</v>
      </c>
      <c r="CD127" s="5">
        <f t="shared" si="192"/>
        <v>7296.0017123033367</v>
      </c>
      <c r="CE127" s="5">
        <f t="shared" si="192"/>
        <v>7339.7858213073205</v>
      </c>
      <c r="CF127" s="5">
        <f t="shared" si="192"/>
        <v>7383.8213585179055</v>
      </c>
      <c r="CG127" s="5">
        <f t="shared" si="192"/>
        <v>7428.1096629076874</v>
      </c>
      <c r="CH127" s="5">
        <f t="shared" si="192"/>
        <v>7472.6520795656179</v>
      </c>
      <c r="CI127" s="5">
        <f t="shared" si="192"/>
        <v>7517.4499597143695</v>
      </c>
      <c r="CJ127" s="5">
        <f t="shared" si="192"/>
        <v>7562.504660727599</v>
      </c>
      <c r="CK127" s="5">
        <f t="shared" si="192"/>
        <v>7607.8175461471537</v>
      </c>
      <c r="CL127" s="5">
        <f t="shared" si="192"/>
        <v>7653.3899857001816</v>
      </c>
      <c r="CM127" s="5">
        <f t="shared" si="192"/>
        <v>7699.223355316165</v>
      </c>
      <c r="CN127" s="5">
        <f t="shared" si="192"/>
        <v>7745.3190371438504</v>
      </c>
      <c r="CO127" s="5">
        <f t="shared" si="192"/>
        <v>7791.6784195680993</v>
      </c>
      <c r="CP127" s="5">
        <f t="shared" si="192"/>
        <v>7838.3028972266475</v>
      </c>
      <c r="CQ127" s="5">
        <f t="shared" si="192"/>
        <v>7885.1938710267659</v>
      </c>
      <c r="CR127" s="5">
        <f t="shared" si="192"/>
        <v>7932.3527481618185</v>
      </c>
      <c r="CS127" s="5">
        <f t="shared" si="192"/>
        <v>7979.780942127727</v>
      </c>
      <c r="CT127" s="5">
        <f t="shared" si="192"/>
        <v>8027.4798727393363</v>
      </c>
      <c r="CU127" s="5">
        <f t="shared" si="192"/>
        <v>8075.4509661466691</v>
      </c>
      <c r="CV127" s="5">
        <f t="shared" si="192"/>
        <v>8123.6956548510707</v>
      </c>
      <c r="CW127" s="5">
        <f t="shared" si="192"/>
        <v>8172.2153777212516</v>
      </c>
      <c r="CX127" s="5">
        <f t="shared" si="192"/>
        <v>8221.0115800092171</v>
      </c>
      <c r="CY127" s="5">
        <f t="shared" si="192"/>
        <v>8270.0857133660738</v>
      </c>
      <c r="CZ127" s="5">
        <f t="shared" si="192"/>
        <v>8319.4392358577261</v>
      </c>
      <c r="DA127" s="5">
        <f t="shared" si="192"/>
        <v>8369.0736119804587</v>
      </c>
      <c r="DB127" s="5">
        <f t="shared" si="192"/>
        <v>8418.9903126763711</v>
      </c>
      <c r="DC127" s="5">
        <f t="shared" si="192"/>
        <v>8469.190815348722</v>
      </c>
      <c r="DD127" s="5">
        <f t="shared" si="192"/>
        <v>8519.676603877122</v>
      </c>
      <c r="DE127" s="5">
        <f t="shared" si="192"/>
        <v>8570.4491686325946</v>
      </c>
      <c r="DF127" s="5">
        <f t="shared" si="192"/>
        <v>8621.5100064925173</v>
      </c>
      <c r="DG127" s="5">
        <f t="shared" si="192"/>
        <v>8672.8606208554156</v>
      </c>
      <c r="DH127" s="5">
        <f t="shared" si="192"/>
        <v>8724.5025216556187</v>
      </c>
      <c r="DI127" s="5">
        <f t="shared" si="192"/>
        <v>8776.4372253777765</v>
      </c>
      <c r="DJ127" s="5">
        <f t="shared" si="192"/>
        <v>8828.6662550712299</v>
      </c>
      <c r="DK127" s="5">
        <f t="shared" si="192"/>
        <v>8881.1911403642298</v>
      </c>
      <c r="DL127" s="5">
        <f t="shared" si="192"/>
        <v>8934.0134174780105</v>
      </c>
      <c r="DM127" s="5">
        <f t="shared" si="192"/>
        <v>8987.1346292406997</v>
      </c>
      <c r="DN127" s="5">
        <f t="shared" si="192"/>
        <v>9040.5563251010808</v>
      </c>
      <c r="DO127" s="5">
        <f t="shared" si="192"/>
        <v>9094.2800611421881</v>
      </c>
      <c r="DP127" s="5">
        <f t="shared" si="192"/>
        <v>9148.3074000947399</v>
      </c>
      <c r="DQ127" s="5">
        <f t="shared" si="192"/>
        <v>9202.6399113504049</v>
      </c>
      <c r="DR127" s="5">
        <f t="shared" si="192"/>
        <v>9257.2791709748999</v>
      </c>
      <c r="DS127" s="5">
        <f t="shared" si="192"/>
        <v>9312.2267617209091</v>
      </c>
      <c r="DT127" s="5">
        <f t="shared" si="192"/>
        <v>9367.4842730408327</v>
      </c>
      <c r="DU127" s="5">
        <f t="shared" si="192"/>
        <v>9423.0533010993477</v>
      </c>
      <c r="DV127" s="5">
        <f t="shared" si="192"/>
        <v>9478.9354487857945</v>
      </c>
      <c r="DW127" s="5">
        <f t="shared" ref="DW127" si="193">$B$127*MIN(DW126, 0.5*DW125, MAX((DW121-0.1*DW125), 0))</f>
        <v>9535.1323257263666</v>
      </c>
      <c r="DX127" s="5">
        <f t="shared" ref="DX127" si="194">$B$127*MIN(DX126, 0.5*DX125, MAX((DX121-0.1*DX125), 0))</f>
        <v>9591.6455482961119</v>
      </c>
      <c r="DY127" s="5">
        <f t="shared" ref="DY127" si="195">$B$127*MIN(DY126, 0.5*DY125, MAX((DY121-0.1*DY125), 0))</f>
        <v>9648.4767396307561</v>
      </c>
      <c r="DZ127" s="5">
        <f t="shared" ref="DZ127" si="196">$B$127*MIN(DZ126, 0.5*DZ125, MAX((DZ121-0.1*DZ125), 0))</f>
        <v>9705.6275296382901</v>
      </c>
      <c r="EA127" s="5">
        <f t="shared" ref="EA127" si="197">$B$127*MIN(EA126, 0.5*EA125, MAX((EA121-0.1*EA125), 0))</f>
        <v>9763.0995550103999</v>
      </c>
      <c r="EB127" s="5">
        <f t="shared" ref="EB127" si="198">$B$127*MIN(EB126, 0.5*EB125, MAX((EB121-0.1*EB125), 0))</f>
        <v>9820.8944592336702</v>
      </c>
      <c r="EC127" s="5">
        <f t="shared" ref="EC127" si="199">$B$127*MIN(EC126, 0.5*EC125, MAX((EC121-0.1*EC125), 0))</f>
        <v>9879.0138926005657</v>
      </c>
      <c r="ED127" s="5">
        <f t="shared" ref="ED127" si="200">$B$127*MIN(ED126, 0.5*ED125, MAX((ED121-0.1*ED125), 0))</f>
        <v>9937.4595122202318</v>
      </c>
      <c r="EE127" s="5">
        <f t="shared" ref="EE127" si="201">$B$127*MIN(EE126, 0.5*EE125, MAX((EE121-0.1*EE125), 0))</f>
        <v>9996.2329820290433</v>
      </c>
      <c r="EF127" s="5">
        <f t="shared" ref="EF127" si="202">$B$127*MIN(EF126, 0.5*EF125, MAX((EF121-0.1*EF125), 0))</f>
        <v>10055.33597280098</v>
      </c>
      <c r="EG127" s="5">
        <f t="shared" ref="EG127" si="203">$B$127*MIN(EG126, 0.5*EG125, MAX((EG121-0.1*EG125), 0))</f>
        <v>10114.770162157713</v>
      </c>
      <c r="EH127" s="5">
        <f t="shared" ref="EH127" si="204">$B$127*MIN(EH126, 0.5*EH125, MAX((EH121-0.1*EH125), 0))</f>
        <v>10174.537234578531</v>
      </c>
      <c r="EI127" s="5">
        <f t="shared" ref="EI127" si="205">$B$127*MIN(EI126, 0.5*EI125, MAX((EI121-0.1*EI125), 0))</f>
        <v>10234.638881409986</v>
      </c>
      <c r="EJ127" s="5">
        <f t="shared" ref="EJ127" si="206">$B$127*MIN(EJ126, 0.5*EJ125, MAX((EJ121-0.1*EJ125), 0))</f>
        <v>10295.076800875326</v>
      </c>
      <c r="EK127" s="5">
        <f t="shared" ref="EK127" si="207">$B$127*MIN(EK126, 0.5*EK125, MAX((EK121-0.1*EK125), 0))</f>
        <v>10355.85269808368</v>
      </c>
      <c r="EL127" s="5">
        <f t="shared" ref="EL127" si="208">$B$127*MIN(EL126, 0.5*EL125, MAX((EL121-0.1*EL125), 0))</f>
        <v>10416.968285038996</v>
      </c>
      <c r="EM127" s="5">
        <f t="shared" ref="EM127" si="209">$B$127*MIN(EM126, 0.5*EM125, MAX((EM121-0.1*EM125), 0))</f>
        <v>10478.425280648751</v>
      </c>
      <c r="EN127" s="5">
        <f t="shared" ref="EN127" si="210">$B$127*MIN(EN126, 0.5*EN125, MAX((EN121-0.1*EN125), 0))</f>
        <v>10540.22541073237</v>
      </c>
      <c r="EO127" s="5">
        <f t="shared" ref="EO127" si="211">$B$127*MIN(EO126, 0.5*EO125, MAX((EO121-0.1*EO125), 0))</f>
        <v>10602.370408029432</v>
      </c>
      <c r="EP127" s="5">
        <f t="shared" ref="EP127" si="212">$B$127*MIN(EP126, 0.5*EP125, MAX((EP121-0.1*EP125), 0))</f>
        <v>10664.862012207575</v>
      </c>
      <c r="EQ127" s="5">
        <f t="shared" ref="EQ127" si="213">$B$127*MIN(EQ126, 0.5*EQ125, MAX((EQ121-0.1*EQ125), 0))</f>
        <v>10727.701969870164</v>
      </c>
      <c r="ER127" s="5">
        <f t="shared" ref="ER127" si="214">$B$127*MIN(ER126, 0.5*ER125, MAX((ER121-0.1*ER125), 0))</f>
        <v>10790.892034563682</v>
      </c>
      <c r="ES127" s="5">
        <f t="shared" ref="ES127" si="215">$B$127*MIN(ES126, 0.5*ES125, MAX((ES121-0.1*ES125), 0))</f>
        <v>10854.433966784833</v>
      </c>
      <c r="ET127" s="5">
        <f t="shared" ref="ET127" si="216">$B$127*MIN(ET126, 0.5*ET125, MAX((ET121-0.1*ET125), 0))</f>
        <v>10918.329533987378</v>
      </c>
      <c r="EU127" s="5">
        <f t="shared" ref="EU127" si="217">$B$127*MIN(EU126, 0.5*EU125, MAX((EU121-0.1*EU125), 0))</f>
        <v>10982.580510588698</v>
      </c>
      <c r="EV127" s="5">
        <f t="shared" ref="EV127" si="218">$B$127*MIN(EV126, 0.5*EV125, MAX((EV121-0.1*EV125), 0))</f>
        <v>11047.188677976039</v>
      </c>
      <c r="EW127" s="5">
        <f t="shared" ref="EW127" si="219">$B$127*MIN(EW126, 0.5*EW125, MAX((EW121-0.1*EW125), 0))</f>
        <v>11112.155824512491</v>
      </c>
      <c r="EX127" s="5">
        <f t="shared" ref="EX127" si="220">$B$127*MIN(EX126, 0.5*EX125, MAX((EX121-0.1*EX125), 0))</f>
        <v>11177.483745542657</v>
      </c>
      <c r="EY127" s="5">
        <f t="shared" ref="EY127" si="221">$B$127*MIN(EY126, 0.5*EY125, MAX((EY121-0.1*EY125), 0))</f>
        <v>11243.174243398023</v>
      </c>
      <c r="EZ127" s="5">
        <f t="shared" ref="EZ127" si="222">$B$127*MIN(EZ126, 0.5*EZ125, MAX((EZ121-0.1*EZ125), 0))</f>
        <v>11309.229127402026</v>
      </c>
      <c r="FA127" s="5">
        <f t="shared" ref="FA127" si="223">$B$127*MIN(FA126, 0.5*FA125, MAX((FA121-0.1*FA125), 0))</f>
        <v>11375.650213874787</v>
      </c>
      <c r="FB127" s="5">
        <f t="shared" ref="FB127" si="224">$B$127*MIN(FB126, 0.5*FB125, MAX((FB121-0.1*FB125), 0))</f>
        <v>11442.439326137563</v>
      </c>
      <c r="FC127" s="5">
        <f t="shared" ref="FC127" si="225">$B$127*MIN(FC126, 0.5*FC125, MAX((FC121-0.1*FC125), 0))</f>
        <v>11509.598294516842</v>
      </c>
      <c r="FD127" s="5">
        <f t="shared" ref="FD127" si="226">$B$127*MIN(FD126, 0.5*FD125, MAX((FD121-0.1*FD125), 0))</f>
        <v>11577.128956348137</v>
      </c>
      <c r="FE127" s="5">
        <f t="shared" ref="FE127" si="227">$B$127*MIN(FE126, 0.5*FE125, MAX((FE121-0.1*FE125), 0))</f>
        <v>11645.033155979427</v>
      </c>
      <c r="FF127" s="5">
        <f t="shared" ref="FF127" si="228">$B$127*MIN(FF126, 0.5*FF125, MAX((FF121-0.1*FF125), 0))</f>
        <v>11713.312744774277</v>
      </c>
      <c r="FG127" s="5">
        <f t="shared" ref="FG127" si="229">$B$127*MIN(FG126, 0.5*FG125, MAX((FG121-0.1*FG125), 0))</f>
        <v>11781.969581114607</v>
      </c>
      <c r="FH127" s="5">
        <f t="shared" ref="FH127" si="230">$B$127*MIN(FH126, 0.5*FH125, MAX((FH121-0.1*FH125), 0))</f>
        <v>11851.00553040311</v>
      </c>
      <c r="FI127" s="5">
        <f t="shared" ref="FI127" si="231">$B$127*MIN(FI126, 0.5*FI125, MAX((FI121-0.1*FI125), 0))</f>
        <v>11920.422465065323</v>
      </c>
      <c r="FJ127" s="5">
        <f t="shared" ref="FJ127" si="232">$B$127*MIN(FJ126, 0.5*FJ125, MAX((FJ121-0.1*FJ125), 0))</f>
        <v>11990.222264551338</v>
      </c>
      <c r="FK127" s="5">
        <f t="shared" ref="FK127" si="233">$B$127*MIN(FK126, 0.5*FK125, MAX((FK121-0.1*FK125), 0))</f>
        <v>12060.406815337139</v>
      </c>
      <c r="FL127" s="5">
        <f t="shared" ref="FL127" si="234">$B$127*MIN(FL126, 0.5*FL125, MAX((FL121-0.1*FL125), 0))</f>
        <v>12130.978010925584</v>
      </c>
      <c r="FM127" s="5">
        <f t="shared" ref="FM127" si="235">$B$127*MIN(FM126, 0.5*FM125, MAX((FM121-0.1*FM125), 0))</f>
        <v>12201.937751847005</v>
      </c>
      <c r="FN127" s="5">
        <f t="shared" ref="FN127" si="236">$B$127*MIN(FN126, 0.5*FN125, MAX((FN121-0.1*FN125), 0))</f>
        <v>12273.287945659416</v>
      </c>
      <c r="FO127" s="5">
        <f t="shared" ref="FO127" si="237">$B$127*MIN(FO126, 0.5*FO125, MAX((FO121-0.1*FO125), 0))</f>
        <v>12345.030506948358</v>
      </c>
      <c r="FP127" s="5">
        <f t="shared" ref="FP127" si="238">$B$127*MIN(FP126, 0.5*FP125, MAX((FP121-0.1*FP125), 0))</f>
        <v>12417.167357326318</v>
      </c>
      <c r="FQ127" s="5">
        <f t="shared" ref="FQ127" si="239">$B$127*MIN(FQ126, 0.5*FQ125, MAX((FQ121-0.1*FQ125), 0))</f>
        <v>12489.700425431784</v>
      </c>
      <c r="FR127" s="5">
        <f t="shared" ref="FR127" si="240">$B$127*MIN(FR126, 0.5*FR125, MAX((FR121-0.1*FR125), 0))</f>
        <v>12562.631646927866</v>
      </c>
      <c r="FS127" s="5">
        <f t="shared" ref="FS127" si="241">$B$127*MIN(FS126, 0.5*FS125, MAX((FS121-0.1*FS125), 0))</f>
        <v>12635.962964500537</v>
      </c>
      <c r="FT127" s="5">
        <f t="shared" ref="FT127" si="242">$B$127*MIN(FT126, 0.5*FT125, MAX((FT121-0.1*FT125), 0))</f>
        <v>12709.696327856409</v>
      </c>
      <c r="FU127" s="5">
        <f t="shared" ref="FU127" si="243">$B$127*MIN(FU126, 0.5*FU125, MAX((FU121-0.1*FU125), 0))</f>
        <v>12783.833693720149</v>
      </c>
      <c r="FV127" s="5">
        <f t="shared" ref="FV127" si="244">$B$127*MIN(FV126, 0.5*FV125, MAX((FV121-0.1*FV125), 0))</f>
        <v>12858.377025831409</v>
      </c>
      <c r="FW127" s="5">
        <f t="shared" ref="FW127" si="245">$B$127*MIN(FW126, 0.5*FW125, MAX((FW121-0.1*FW125), 0))</f>
        <v>12933.328294941351</v>
      </c>
      <c r="FX127" s="5">
        <f t="shared" ref="FX127" si="246">$B$127*MIN(FX126, 0.5*FX125, MAX((FX121-0.1*FX125), 0))</f>
        <v>13008.689478808732</v>
      </c>
      <c r="FY127" s="5">
        <f t="shared" ref="FY127" si="247">$B$127*MIN(FY126, 0.5*FY125, MAX((FY121-0.1*FY125), 0))</f>
        <v>13084.462562195515</v>
      </c>
      <c r="FZ127" s="5">
        <f t="shared" ref="FZ127" si="248">$B$127*MIN(FZ126, 0.5*FZ125, MAX((FZ121-0.1*FZ125), 0))</f>
        <v>13160.649536862058</v>
      </c>
      <c r="GA127" s="5">
        <f t="shared" ref="GA127" si="249">$B$127*MIN(GA126, 0.5*GA125, MAX((GA121-0.1*GA125), 0))</f>
        <v>13237.252401561807</v>
      </c>
      <c r="GB127" s="5">
        <f t="shared" ref="GB127" si="250">$B$127*MIN(GB126, 0.5*GB125, MAX((GB121-0.1*GB125), 0))</f>
        <v>13314.273162035561</v>
      </c>
      <c r="GC127" s="5">
        <f t="shared" ref="GC127" si="251">$B$127*MIN(GC126, 0.5*GC125, MAX((GC121-0.1*GC125), 0))</f>
        <v>13391.71383100522</v>
      </c>
      <c r="GD127" s="5">
        <f t="shared" ref="GD127" si="252">$B$127*MIN(GD126, 0.5*GD125, MAX((GD121-0.1*GD125), 0))</f>
        <v>13469.576428167089</v>
      </c>
      <c r="GE127" s="5">
        <f t="shared" ref="GE127" si="253">$B$127*MIN(GE126, 0.5*GE125, MAX((GE121-0.1*GE125), 0))</f>
        <v>13547.862980184671</v>
      </c>
      <c r="GF127" s="5">
        <f t="shared" ref="GF127" si="254">$B$127*MIN(GF126, 0.5*GF125, MAX((GF121-0.1*GF125), 0))</f>
        <v>13626.575520680944</v>
      </c>
      <c r="GG127" s="5">
        <f t="shared" ref="GG127" si="255">$B$127*MIN(GG126, 0.5*GG125, MAX((GG121-0.1*GG125), 0))</f>
        <v>13705.716090230208</v>
      </c>
      <c r="GH127" s="5">
        <f t="shared" ref="GH127" si="256">$B$127*MIN(GH126, 0.5*GH125, MAX((GH121-0.1*GH125), 0))</f>
        <v>13785.286736349339</v>
      </c>
      <c r="GI127" s="5">
        <f t="shared" ref="GI127" si="257">$B$127*MIN(GI126, 0.5*GI125, MAX((GI121-0.1*GI125), 0))</f>
        <v>13865.289513488582</v>
      </c>
      <c r="GJ127" s="5">
        <f t="shared" ref="GJ127" si="258">$B$127*MIN(GJ126, 0.5*GJ125, MAX((GJ121-0.1*GJ125), 0))</f>
        <v>13945.726483021779</v>
      </c>
      <c r="GK127" s="5">
        <f t="shared" ref="GK127" si="259">$B$127*MIN(GK126, 0.5*GK125, MAX((GK121-0.1*GK125), 0))</f>
        <v>14026.599713236115</v>
      </c>
      <c r="GL127" s="5">
        <f t="shared" ref="GL127" si="260">$B$127*MIN(GL126, 0.5*GL125, MAX((GL121-0.1*GL125), 0))</f>
        <v>14107.911279321277</v>
      </c>
      <c r="GM127" s="5">
        <f t="shared" ref="GM127" si="261">$B$127*MIN(GM126, 0.5*GM125, MAX((GM121-0.1*GM125), 0))</f>
        <v>14189.663263358088</v>
      </c>
      <c r="GN127" s="5">
        <f t="shared" ref="GN127" si="262">$B$127*MIN(GN126, 0.5*GN125, MAX((GN121-0.1*GN125), 0))</f>
        <v>14271.857754306602</v>
      </c>
      <c r="GO127" s="5">
        <f t="shared" ref="GO127" si="263">$B$127*MIN(GO126, 0.5*GO125, MAX((GO121-0.1*GO125), 0))</f>
        <v>14354.496847993605</v>
      </c>
      <c r="GP127" s="5">
        <f t="shared" ref="GP127" si="264">$B$127*MIN(GP126, 0.5*GP125, MAX((GP121-0.1*GP125), 0))</f>
        <v>14437.582647099562</v>
      </c>
      <c r="GQ127" s="5">
        <f t="shared" ref="GQ127" si="265">$B$127*MIN(GQ126, 0.5*GQ125, MAX((GQ121-0.1*GQ125), 0))</f>
        <v>14521.117261144993</v>
      </c>
      <c r="GR127" s="5">
        <f t="shared" ref="GR127" si="266">$B$127*MIN(GR126, 0.5*GR125, MAX((GR121-0.1*GR125), 0))</f>
        <v>14605.10280647627</v>
      </c>
      <c r="GS127" s="5">
        <f t="shared" ref="GS127" si="267">$B$127*MIN(GS126, 0.5*GS125, MAX((GS121-0.1*GS125), 0))</f>
        <v>14689.541406250784</v>
      </c>
      <c r="GT127" s="5">
        <f t="shared" ref="GT127" si="268">$B$127*MIN(GT126, 0.5*GT125, MAX((GT121-0.1*GT125), 0))</f>
        <v>14774.435190421556</v>
      </c>
      <c r="GU127" s="5">
        <f t="shared" ref="GU127" si="269">$B$127*MIN(GU126, 0.5*GU125, MAX((GU121-0.1*GU125), 0))</f>
        <v>14859.786295721207</v>
      </c>
      <c r="GV127" s="5">
        <f t="shared" ref="GV127" si="270">$B$127*MIN(GV126, 0.5*GV125, MAX((GV121-0.1*GV125), 0))</f>
        <v>14945.59686564533</v>
      </c>
      <c r="GW127" s="5">
        <f t="shared" ref="GW127" si="271">$B$127*MIN(GW126, 0.5*GW125, MAX((GW121-0.1*GW125), 0))</f>
        <v>15031.869050435223</v>
      </c>
      <c r="GX127" s="5">
        <f t="shared" ref="GX127" si="272">$B$127*MIN(GX126, 0.5*GX125, MAX((GX121-0.1*GX125), 0))</f>
        <v>15118.605007059981</v>
      </c>
      <c r="GY127" s="5">
        <f t="shared" ref="GY127" si="273">$B$127*MIN(GY126, 0.5*GY125, MAX((GY121-0.1*GY125), 0))</f>
        <v>15205.806899197978</v>
      </c>
      <c r="GZ127" s="5">
        <f t="shared" ref="GZ127" si="274">$B$127*MIN(GZ126, 0.5*GZ125, MAX((GZ121-0.1*GZ125), 0))</f>
        <v>15293.476897217652</v>
      </c>
      <c r="HA127" s="5">
        <f t="shared" ref="HA127" si="275">$B$127*MIN(HA126, 0.5*HA125, MAX((HA121-0.1*HA125), 0))</f>
        <v>15381.617178157663</v>
      </c>
      <c r="HB127" s="5">
        <f t="shared" ref="HB127" si="276">$B$127*MIN(HB126, 0.5*HB125, MAX((HB121-0.1*HB125), 0))</f>
        <v>15470.229925706377</v>
      </c>
      <c r="HC127" s="5">
        <f t="shared" ref="HC127" si="277">$B$127*MIN(HC126, 0.5*HC125, MAX((HC121-0.1*HC125), 0))</f>
        <v>15559.317330180646</v>
      </c>
      <c r="HD127" s="5">
        <f t="shared" ref="HD127" si="278">$B$127*MIN(HD126, 0.5*HD125, MAX((HD121-0.1*HD125), 0))</f>
        <v>15648.881588503931</v>
      </c>
      <c r="HE127" s="5">
        <f t="shared" ref="HE127" si="279">$B$127*MIN(HE126, 0.5*HE125, MAX((HE121-0.1*HE125), 0))</f>
        <v>15738.924904183728</v>
      </c>
      <c r="HF127" s="5">
        <f t="shared" ref="HF127" si="280">$B$127*MIN(HF126, 0.5*HF125, MAX((HF121-0.1*HF125), 0))</f>
        <v>15829.449487288244</v>
      </c>
      <c r="HG127" s="5">
        <f t="shared" ref="HG127" si="281">$B$127*MIN(HG126, 0.5*HG125, MAX((HG121-0.1*HG125), 0))</f>
        <v>15920.45755442243</v>
      </c>
      <c r="HH127" s="5">
        <f t="shared" ref="HH127" si="282">$B$127*MIN(HH126, 0.5*HH125, MAX((HH121-0.1*HH125), 0))</f>
        <v>16011.951328703224</v>
      </c>
      <c r="HI127" s="5">
        <f t="shared" ref="HI127" si="283">$B$127*MIN(HI126, 0.5*HI125, MAX((HI121-0.1*HI125), 0))</f>
        <v>16103.933039734096</v>
      </c>
      <c r="HJ127" s="5">
        <f t="shared" ref="HJ127" si="284">$B$127*MIN(HJ126, 0.5*HJ125, MAX((HJ121-0.1*HJ125), 0))</f>
        <v>16196.404923578833</v>
      </c>
      <c r="HK127" s="5">
        <f t="shared" ref="HK127" si="285">$B$127*MIN(HK126, 0.5*HK125, MAX((HK121-0.1*HK125), 0))</f>
        <v>16289.369222734593</v>
      </c>
      <c r="HL127" s="5">
        <f t="shared" ref="HL127" si="286">$B$127*MIN(HL126, 0.5*HL125, MAX((HL121-0.1*HL125), 0))</f>
        <v>16382.82818610416</v>
      </c>
      <c r="HM127" s="5">
        <f t="shared" ref="HM127" si="287">$B$127*MIN(HM126, 0.5*HM125, MAX((HM121-0.1*HM125), 0))</f>
        <v>16476.784068967449</v>
      </c>
      <c r="HN127" s="5">
        <f t="shared" ref="HN127" si="288">$B$127*MIN(HN126, 0.5*HN125, MAX((HN121-0.1*HN125), 0))</f>
        <v>16571.239132952236</v>
      </c>
      <c r="HO127" s="5">
        <f t="shared" ref="HO127" si="289">$B$127*MIN(HO126, 0.5*HO125, MAX((HO121-0.1*HO125), 0))</f>
        <v>16666.195646004071</v>
      </c>
      <c r="HP127" s="5">
        <f t="shared" ref="HP127" si="290">$B$127*MIN(HP126, 0.5*HP125, MAX((HP121-0.1*HP125), 0))</f>
        <v>16761.655882355411</v>
      </c>
      <c r="HQ127" s="5">
        <f t="shared" ref="HQ127" si="291">$B$127*MIN(HQ126, 0.5*HQ125, MAX((HQ121-0.1*HQ125), 0))</f>
        <v>16857.622122493915</v>
      </c>
      <c r="HR127" s="5">
        <f t="shared" ref="HR127" si="292">$B$127*MIN(HR126, 0.5*HR125, MAX((HR121-0.1*HR125), 0))</f>
        <v>16954.096653129913</v>
      </c>
      <c r="HS127" s="5">
        <f t="shared" ref="HS127" si="293">$B$127*MIN(HS126, 0.5*HS125, MAX((HS121-0.1*HS125), 0))</f>
        <v>17051.081767163098</v>
      </c>
      <c r="HT127" s="5">
        <f t="shared" ref="HT127" si="294">$B$127*MIN(HT126, 0.5*HT125, MAX((HT121-0.1*HT125), 0))</f>
        <v>17148.579763648268</v>
      </c>
      <c r="HU127" s="5">
        <f t="shared" ref="HU127" si="295">$B$127*MIN(HU126, 0.5*HU125, MAX((HU121-0.1*HU125), 0))</f>
        <v>17246.592947760324</v>
      </c>
      <c r="HV127" s="5">
        <f t="shared" ref="HV127" si="296">$B$127*MIN(HV126, 0.5*HV125, MAX((HV121-0.1*HV125), 0))</f>
        <v>17345.123630758299</v>
      </c>
      <c r="HW127" s="5">
        <f t="shared" ref="HW127" si="297">$B$127*MIN(HW126, 0.5*HW125, MAX((HW121-0.1*HW125), 0))</f>
        <v>17444.174129948588</v>
      </c>
      <c r="HX127" s="5">
        <f t="shared" ref="HX127" si="298">$B$127*MIN(HX126, 0.5*HX125, MAX((HX121-0.1*HX125), 0))</f>
        <v>17543.746768647248</v>
      </c>
      <c r="HY127" s="5">
        <f t="shared" ref="HY127" si="299">$B$127*MIN(HY126, 0.5*HY125, MAX((HY121-0.1*HY125), 0))</f>
        <v>17643.843876141389</v>
      </c>
      <c r="HZ127" s="5">
        <f t="shared" ref="HZ127" si="300">$B$127*MIN(HZ126, 0.5*HZ125, MAX((HZ121-0.1*HZ125), 0))</f>
        <v>17744.467787649686</v>
      </c>
      <c r="IA127" s="5">
        <f t="shared" ref="IA127" si="301">$B$127*MIN(IA126, 0.5*IA125, MAX((IA121-0.1*IA125), 0))</f>
        <v>17845.62084428193</v>
      </c>
      <c r="IB127" s="5">
        <f t="shared" ref="IB127" si="302">$B$127*MIN(IB126, 0.5*IB125, MAX((IB121-0.1*IB125), 0))</f>
        <v>17947.305392997678</v>
      </c>
      <c r="IC127" s="5">
        <f t="shared" ref="IC127" si="303">$B$127*MIN(IC126, 0.5*IC125, MAX((IC121-0.1*IC125), 0))</f>
        <v>18049.523786563925</v>
      </c>
      <c r="ID127" s="5">
        <f t="shared" ref="ID127" si="304">$B$127*MIN(ID126, 0.5*ID125, MAX((ID121-0.1*ID125), 0))</f>
        <v>18152.278383511832</v>
      </c>
      <c r="IE127" s="5">
        <f t="shared" ref="IE127" si="305">$B$127*MIN(IE126, 0.5*IE125, MAX((IE121-0.1*IE125), 0))</f>
        <v>18255.571548092477</v>
      </c>
      <c r="IF127" s="5">
        <f t="shared" ref="IF127" si="306">$B$127*MIN(IF126, 0.5*IF125, MAX((IF121-0.1*IF125), 0))</f>
        <v>18359.405650231638</v>
      </c>
      <c r="IG127" s="5">
        <f t="shared" ref="IG127" si="307">$B$127*MIN(IG126, 0.5*IG125, MAX((IG121-0.1*IG125), 0))</f>
        <v>18463.783065483552</v>
      </c>
      <c r="IH127" s="5">
        <f t="shared" ref="IH127" si="308">$B$127*MIN(IH126, 0.5*IH125, MAX((IH121-0.1*IH125), 0))</f>
        <v>18568.706174983672</v>
      </c>
      <c r="II127" s="5">
        <f t="shared" ref="II127" si="309">$B$127*MIN(II126, 0.5*II125, MAX((II121-0.1*II125), 0))</f>
        <v>18674.177365400439</v>
      </c>
      <c r="IJ127" s="5">
        <f t="shared" ref="IJ127" si="310">$B$127*MIN(IJ126, 0.5*IJ125, MAX((IJ121-0.1*IJ125), 0))</f>
        <v>18780.199028885952</v>
      </c>
      <c r="IK127" s="5">
        <f t="shared" ref="IK127" si="311">$B$127*MIN(IK126, 0.5*IK125, MAX((IK121-0.1*IK125), 0))</f>
        <v>18886.773563025676</v>
      </c>
      <c r="IL127" s="5">
        <f t="shared" ref="IL127" si="312">$B$127*MIN(IL126, 0.5*IL125, MAX((IL121-0.1*IL125), 0))</f>
        <v>18993.903370787</v>
      </c>
      <c r="IM127" s="5">
        <f t="shared" ref="IM127" si="313">$B$127*MIN(IM126, 0.5*IM125, MAX((IM121-0.1*IM125), 0))</f>
        <v>19101.590860466797</v>
      </c>
      <c r="IN127" s="5">
        <f t="shared" ref="IN127:IO127" si="314">$B$127*MIN(IN126, 0.5*IN125, MAX((IN121-0.1*IN125), 0))</f>
        <v>19209.838445637859</v>
      </c>
      <c r="IO127" s="5">
        <f t="shared" si="314"/>
        <v>19318.648545094238</v>
      </c>
      <c r="IP127" s="5">
        <f t="shared" ref="IP127" si="315">$B$127*MIN(IP126, 0.5*IP125, MAX((IP121-0.1*IP125), 0))</f>
        <v>19428.023582795486</v>
      </c>
      <c r="IQ127" s="5">
        <f t="shared" ref="IQ127" si="316">$B$127*MIN(IQ126, 0.5*IQ125, MAX((IQ121-0.1*IQ125), 0))</f>
        <v>19537.965987809748</v>
      </c>
      <c r="IR127" s="5">
        <f t="shared" ref="IR127" si="317">$B$127*MIN(IR126, 0.5*IR125, MAX((IR121-0.1*IR125), 0))</f>
        <v>19648.478194255731</v>
      </c>
      <c r="IS127" s="5">
        <f t="shared" ref="IS127" si="318">$B$127*MIN(IS126, 0.5*IS125, MAX((IS121-0.1*IS125), 0))</f>
        <v>19759.56264124353</v>
      </c>
      <c r="IT127" s="5">
        <f t="shared" ref="IT127" si="319">$B$127*MIN(IT126, 0.5*IT125, MAX((IT121-0.1*IT125), 0))</f>
        <v>19871.221772814239</v>
      </c>
      <c r="IU127" s="5">
        <f t="shared" ref="IU127" si="320">$B$127*MIN(IU126, 0.5*IU125, MAX((IU121-0.1*IU125), 0))</f>
        <v>19983.458037878441</v>
      </c>
      <c r="IV127" s="5">
        <f t="shared" ref="IV127" si="321">$B$127*MIN(IV126, 0.5*IV125, MAX((IV121-0.1*IV125), 0))</f>
        <v>20096.27389015345</v>
      </c>
      <c r="IW127" s="5">
        <f t="shared" ref="IW127" si="322">$B$127*MIN(IW126, 0.5*IW125, MAX((IW121-0.1*IW125), 0))</f>
        <v>20209.671788099371</v>
      </c>
      <c r="IX127" s="5">
        <f t="shared" ref="IX127" si="323">$B$127*MIN(IX126, 0.5*IX125, MAX((IX121-0.1*IX125), 0))</f>
        <v>20323.654194853912</v>
      </c>
      <c r="IY127" s="5">
        <f t="shared" ref="IY127" si="324">$B$127*MIN(IY126, 0.5*IY125, MAX((IY121-0.1*IY125), 0))</f>
        <v>20438.223578165991</v>
      </c>
      <c r="IZ127" s="5">
        <f t="shared" ref="IZ127" si="325">$B$127*MIN(IZ126, 0.5*IZ125, MAX((IZ121-0.1*IZ125), 0))</f>
        <v>20553.382410328035</v>
      </c>
      <c r="JA127" s="5">
        <f t="shared" ref="JA127" si="326">$B$127*MIN(JA126, 0.5*JA125, MAX((JA121-0.1*JA125), 0))</f>
        <v>20669.133168107055</v>
      </c>
      <c r="JB127" s="5">
        <f t="shared" ref="JB127" si="327">$B$127*MIN(JB126, 0.5*JB125, MAX((JB121-0.1*JB125), 0))</f>
        <v>20785.478332674411</v>
      </c>
      <c r="JC127" s="5">
        <f t="shared" ref="JC127" si="328">$B$127*MIN(JC126, 0.5*JC125, MAX((JC121-0.1*JC125), 0))</f>
        <v>20902.420389534273</v>
      </c>
      <c r="JD127" s="5">
        <f t="shared" ref="JD127" si="329">$B$127*MIN(JD126, 0.5*JD125, MAX((JD121-0.1*JD125), 0))</f>
        <v>21019.961828450767</v>
      </c>
      <c r="JE127" s="5">
        <f t="shared" ref="JE127" si="330">$B$127*MIN(JE126, 0.5*JE125, MAX((JE121-0.1*JE125), 0))</f>
        <v>21138.105143373821</v>
      </c>
      <c r="JF127" s="5">
        <f t="shared" ref="JF127" si="331">$B$127*MIN(JF126, 0.5*JF125, MAX((JF121-0.1*JF125), 0))</f>
        <v>21256.852832363576</v>
      </c>
      <c r="JG127" s="5">
        <f t="shared" ref="JG127" si="332">$B$127*MIN(JG126, 0.5*JG125, MAX((JG121-0.1*JG125), 0))</f>
        <v>21376.207397513554</v>
      </c>
      <c r="JH127" s="5">
        <f t="shared" ref="JH127" si="333">$B$127*MIN(JH126, 0.5*JH125, MAX((JH121-0.1*JH125), 0))</f>
        <v>21496.171344872313</v>
      </c>
      <c r="JI127" s="5">
        <f t="shared" ref="JI127" si="334">$B$127*MIN(JI126, 0.5*JI125, MAX((JI121-0.1*JI125), 0))</f>
        <v>21616.747184363816</v>
      </c>
      <c r="JJ127" s="5">
        <f t="shared" ref="JJ127" si="335">$B$127*MIN(JJ126, 0.5*JJ125, MAX((JJ121-0.1*JJ125), 0))</f>
        <v>21737.937429706308</v>
      </c>
      <c r="JK127" s="5">
        <f t="shared" ref="JK127" si="336">$B$127*MIN(JK126, 0.5*JK125, MAX((JK121-0.1*JK125), 0))</f>
        <v>21859.744598329806</v>
      </c>
      <c r="JL127" s="5">
        <f t="shared" ref="JL127" si="337">$B$127*MIN(JL126, 0.5*JL125, MAX((JL121-0.1*JL125), 0))</f>
        <v>21982.171211292116</v>
      </c>
      <c r="JM127" s="5">
        <f t="shared" ref="JM127" si="338">$B$127*MIN(JM126, 0.5*JM125, MAX((JM121-0.1*JM125), 0))</f>
        <v>22105.219793193402</v>
      </c>
      <c r="JN127" s="5">
        <f t="shared" ref="JN127" si="339">$B$127*MIN(JN126, 0.5*JN125, MAX((JN121-0.1*JN125), 0))</f>
        <v>22228.89287208924</v>
      </c>
      <c r="JO127" s="5">
        <f t="shared" ref="JO127" si="340">$B$127*MIN(JO126, 0.5*JO125, MAX((JO121-0.1*JO125), 0))</f>
        <v>22353.192979402229</v>
      </c>
      <c r="JP127" s="5">
        <f t="shared" ref="JP127" si="341">$B$127*MIN(JP126, 0.5*JP125, MAX((JP121-0.1*JP125), 0))</f>
        <v>22478.122649832021</v>
      </c>
      <c r="JQ127" s="5">
        <f t="shared" ref="JQ127" si="342">$B$127*MIN(JQ126, 0.5*JQ125, MAX((JQ121-0.1*JQ125), 0))</f>
        <v>22603.684421263846</v>
      </c>
      <c r="JR127" s="5">
        <f t="shared" ref="JR127" si="343">$B$127*MIN(JR126, 0.5*JR125, MAX((JR121-0.1*JR125), 0))</f>
        <v>22729.880834675496</v>
      </c>
      <c r="JS127" s="5">
        <f t="shared" ref="JS127" si="344">$B$127*MIN(JS126, 0.5*JS125, MAX((JS121-0.1*JS125), 0))</f>
        <v>22856.714434042693</v>
      </c>
      <c r="JT127" s="5">
        <f t="shared" ref="JT127" si="345">$B$127*MIN(JT126, 0.5*JT125, MAX((JT121-0.1*JT125), 0))</f>
        <v>22984.187766242914</v>
      </c>
      <c r="JU127" s="5">
        <f t="shared" ref="JU127" si="346">$B$127*MIN(JU126, 0.5*JU125, MAX((JU121-0.1*JU125), 0))</f>
        <v>23112.303380957579</v>
      </c>
      <c r="JV127" s="5">
        <f t="shared" ref="JV127" si="347">$B$127*MIN(JV126, 0.5*JV125, MAX((JV121-0.1*JV125), 0))</f>
        <v>23241.063830572621</v>
      </c>
      <c r="JW127" s="5">
        <f t="shared" ref="JW127" si="348">$B$127*MIN(JW126, 0.5*JW125, MAX((JW121-0.1*JW125), 0))</f>
        <v>23370.47167007739</v>
      </c>
      <c r="JX127" s="5">
        <f t="shared" ref="JX127" si="349">$B$127*MIN(JX126, 0.5*JX125, MAX((JX121-0.1*JX125), 0))</f>
        <v>23500.529456961918</v>
      </c>
      <c r="JY127" s="5">
        <f t="shared" ref="JY127" si="350">$B$127*MIN(JY126, 0.5*JY125, MAX((JY121-0.1*JY125), 0))</f>
        <v>23631.239751112487</v>
      </c>
      <c r="JZ127" s="5">
        <f t="shared" ref="JZ127" si="351">$B$127*MIN(JZ126, 0.5*JZ125, MAX((JZ121-0.1*JZ125), 0))</f>
        <v>23762.605114705486</v>
      </c>
      <c r="KA127" s="5">
        <f t="shared" ref="KA127" si="352">$B$127*MIN(KA126, 0.5*KA125, MAX((KA121-0.1*KA125), 0))</f>
        <v>23894.628112099541</v>
      </c>
      <c r="KB127" s="5">
        <f t="shared" ref="KB127" si="353">$B$127*MIN(KB126, 0.5*KB125, MAX((KB121-0.1*KB125), 0))</f>
        <v>24027.311309725901</v>
      </c>
      <c r="KC127" s="5">
        <f t="shared" ref="KC127" si="354">$B$127*MIN(KC126, 0.5*KC125, MAX((KC121-0.1*KC125), 0))</f>
        <v>24160.657275977108</v>
      </c>
      <c r="KD127" s="5">
        <f t="shared" ref="KD127" si="355">$B$127*MIN(KD126, 0.5*KD125, MAX((KD121-0.1*KD125), 0))</f>
        <v>24294.66858109376</v>
      </c>
      <c r="KE127" s="5">
        <f t="shared" ref="KE127" si="356">$B$127*MIN(KE126, 0.5*KE125, MAX((KE121-0.1*KE125), 0))</f>
        <v>24429.347797049617</v>
      </c>
      <c r="KF127" s="5">
        <f t="shared" ref="KF127" si="357">$B$127*MIN(KF126, 0.5*KF125, MAX((KF121-0.1*KF125), 0))</f>
        <v>24564.697497434747</v>
      </c>
      <c r="KG127" s="5">
        <f t="shared" ref="KG127" si="358">$B$127*MIN(KG126, 0.5*KG125, MAX((KG121-0.1*KG125), 0))</f>
        <v>24700.720257336932</v>
      </c>
      <c r="KH127" s="5">
        <f t="shared" ref="KH127" si="359">$B$127*MIN(KH126, 0.5*KH125, MAX((KH121-0.1*KH125), 0))</f>
        <v>24837.418653221121</v>
      </c>
      <c r="KI127" s="5">
        <f t="shared" ref="KI127" si="360">$B$127*MIN(KI126, 0.5*KI125, MAX((KI121-0.1*KI125), 0))</f>
        <v>24974.795262807052</v>
      </c>
      <c r="KJ127" s="5">
        <f t="shared" ref="KJ127" si="361">$B$127*MIN(KJ126, 0.5*KJ125, MAX((KJ121-0.1*KJ125), 0))</f>
        <v>25112.852664944923</v>
      </c>
      <c r="KK127" s="5">
        <f t="shared" ref="KK127" si="362">$B$127*MIN(KK126, 0.5*KK125, MAX((KK121-0.1*KK125), 0))</f>
        <v>25251.593439489156</v>
      </c>
      <c r="KL127" s="5">
        <f t="shared" ref="KL127" si="363">$B$127*MIN(KL126, 0.5*KL125, MAX((KL121-0.1*KL125), 0))</f>
        <v>25391.020167170162</v>
      </c>
      <c r="KM127" s="5">
        <f t="shared" ref="KM127" si="364">$B$127*MIN(KM126, 0.5*KM125, MAX((KM121-0.1*KM125), 0))</f>
        <v>25531.13542946419</v>
      </c>
      <c r="KN127" s="5">
        <f t="shared" ref="KN127" si="365">$B$127*MIN(KN126, 0.5*KN125, MAX((KN121-0.1*KN125), 0))</f>
        <v>25671.941808461117</v>
      </c>
      <c r="KO127" s="5">
        <f t="shared" ref="KO127" si="366">$B$127*MIN(KO126, 0.5*KO125, MAX((KO121-0.1*KO125), 0))</f>
        <v>25813.441886730263</v>
      </c>
      <c r="KP127" s="5">
        <f t="shared" ref="KP127" si="367">$B$127*MIN(KP126, 0.5*KP125, MAX((KP121-0.1*KP125), 0))</f>
        <v>25955.638247184081</v>
      </c>
      <c r="KQ127" s="5">
        <f t="shared" ref="KQ127" si="368">$B$127*MIN(KQ126, 0.5*KQ125, MAX((KQ121-0.1*KQ125), 0))</f>
        <v>26098.533472939886</v>
      </c>
      <c r="KR127" s="5">
        <f t="shared" ref="KR127" si="369">$B$127*MIN(KR126, 0.5*KR125, MAX((KR121-0.1*KR125), 0))</f>
        <v>26242.130147179407</v>
      </c>
      <c r="KS127" s="5">
        <f t="shared" ref="KS127" si="370">$B$127*MIN(KS126, 0.5*KS125, MAX((KS121-0.1*KS125), 0))</f>
        <v>26386.430853006244</v>
      </c>
      <c r="KT127" s="5">
        <f t="shared" ref="KT127" si="371">$B$127*MIN(KT126, 0.5*KT125, MAX((KT121-0.1*KT125), 0))</f>
        <v>26531.438173301198</v>
      </c>
      <c r="KU127" s="5">
        <f t="shared" ref="KU127" si="372">$B$127*MIN(KU126, 0.5*KU125, MAX((KU121-0.1*KU125), 0))</f>
        <v>26677.154690575411</v>
      </c>
      <c r="KV127" s="5">
        <f t="shared" ref="KV127" si="373">$B$127*MIN(KV126, 0.5*KV125, MAX((KV121-0.1*KV125), 0))</f>
        <v>26823.582986821333</v>
      </c>
      <c r="KW127" s="5">
        <f t="shared" ref="KW127" si="374">$B$127*MIN(KW126, 0.5*KW125, MAX((KW121-0.1*KW125), 0))</f>
        <v>26970.72564336146</v>
      </c>
      <c r="KX127" s="5">
        <f t="shared" ref="KX127" si="375">$B$127*MIN(KX126, 0.5*KX125, MAX((KX121-0.1*KX125), 0))</f>
        <v>27118.585240694869</v>
      </c>
      <c r="KY127" s="5">
        <f t="shared" ref="KY127" si="376">$B$127*MIN(KY126, 0.5*KY125, MAX((KY121-0.1*KY125), 0))</f>
        <v>27267.164358341422</v>
      </c>
      <c r="KZ127" s="5">
        <f t="shared" ref="KZ127" si="377">$B$127*MIN(KZ126, 0.5*KZ125, MAX((KZ121-0.1*KZ125), 0))</f>
        <v>27416.465574683756</v>
      </c>
      <c r="LA127" s="5">
        <f t="shared" ref="LA127" si="378">$B$127*MIN(LA126, 0.5*LA125, MAX((LA121-0.1*LA125), 0))</f>
        <v>27566.491466806863</v>
      </c>
      <c r="LB127" s="5">
        <f t="shared" ref="LB127" si="379">$B$127*MIN(LB126, 0.5*LB125, MAX((LB121-0.1*LB125), 0))</f>
        <v>27717.244610335452</v>
      </c>
      <c r="LC127" s="5">
        <f t="shared" ref="LC127" si="380">$B$127*MIN(LC126, 0.5*LC125, MAX((LC121-0.1*LC125), 0))</f>
        <v>27868.727579268809</v>
      </c>
      <c r="LD127" s="5">
        <f t="shared" ref="LD127" si="381">$B$127*MIN(LD126, 0.5*LD125, MAX((LD121-0.1*LD125), 0))</f>
        <v>28020.942945813371</v>
      </c>
      <c r="LE127" s="5">
        <f t="shared" ref="LE127" si="382">$B$127*MIN(LE126, 0.5*LE125, MAX((LE121-0.1*LE125), 0))</f>
        <v>28173.893280212807</v>
      </c>
      <c r="LF127" s="5">
        <f t="shared" ref="LF127" si="383">$B$127*MIN(LF126, 0.5*LF125, MAX((LF121-0.1*LF125), 0))</f>
        <v>28327.58115057569</v>
      </c>
      <c r="LG127" s="5">
        <f t="shared" ref="LG127" si="384">$B$127*MIN(LG126, 0.5*LG125, MAX((LG121-0.1*LG125), 0))</f>
        <v>28482.009122700674</v>
      </c>
      <c r="LH127" s="5">
        <f t="shared" ref="LH127" si="385">$B$127*MIN(LH126, 0.5*LH125, MAX((LH121-0.1*LH125), 0))</f>
        <v>28637.179759899169</v>
      </c>
      <c r="LI127" s="5">
        <f t="shared" ref="LI127" si="386">$B$127*MIN(LI126, 0.5*LI125, MAX((LI121-0.1*LI125), 0))</f>
        <v>28793.095622815486</v>
      </c>
      <c r="LJ127" s="5">
        <f t="shared" ref="LJ127" si="387">$B$127*MIN(LJ126, 0.5*LJ125, MAX((LJ121-0.1*LJ125), 0))</f>
        <v>28949.759269244441</v>
      </c>
      <c r="LK127" s="5">
        <f t="shared" ref="LK127" si="388">$B$127*MIN(LK126, 0.5*LK125, MAX((LK121-0.1*LK125), 0))</f>
        <v>29107.173253946345</v>
      </c>
      <c r="LL127" s="5">
        <f t="shared" ref="LL127" si="389">$B$127*MIN(LL126, 0.5*LL125, MAX((LL121-0.1*LL125), 0))</f>
        <v>29265.340128459378</v>
      </c>
      <c r="LM127" s="5">
        <f t="shared" ref="LM127" si="390">$B$127*MIN(LM126, 0.5*LM125, MAX((LM121-0.1*LM125), 0))</f>
        <v>29424.262440909333</v>
      </c>
      <c r="LN127" s="5">
        <f t="shared" ref="LN127" si="391">$B$127*MIN(LN126, 0.5*LN125, MAX((LN121-0.1*LN125), 0))</f>
        <v>29583.942735816676</v>
      </c>
      <c r="LO127" s="5">
        <f t="shared" ref="LO127" si="392">$B$127*MIN(LO126, 0.5*LO125, MAX((LO121-0.1*LO125), 0))</f>
        <v>29744.383553900909</v>
      </c>
      <c r="LP127" s="5">
        <f t="shared" ref="LP127" si="393">$B$127*MIN(LP126, 0.5*LP125, MAX((LP121-0.1*LP125), 0))</f>
        <v>29905.587431882195</v>
      </c>
      <c r="LQ127" s="5">
        <f t="shared" ref="LQ127" si="394">$B$127*MIN(LQ126, 0.5*LQ125, MAX((LQ121-0.1*LQ125), 0))</f>
        <v>30067.556902280201</v>
      </c>
      <c r="LR127" s="5">
        <f t="shared" ref="LR127" si="395">$B$127*MIN(LR126, 0.5*LR125, MAX((LR121-0.1*LR125), 0))</f>
        <v>30230.294493210193</v>
      </c>
      <c r="LS127" s="5">
        <f t="shared" ref="LS127" si="396">$B$127*MIN(LS126, 0.5*LS125, MAX((LS121-0.1*LS125), 0))</f>
        <v>30393.802728176226</v>
      </c>
      <c r="LT127" s="5">
        <f t="shared" ref="LT127" si="397">$B$127*MIN(LT126, 0.5*LT125, MAX((LT121-0.1*LT125), 0))</f>
        <v>30558.084125861573</v>
      </c>
      <c r="LU127" s="5">
        <f t="shared" ref="LU127" si="398">$B$127*MIN(LU126, 0.5*LU125, MAX((LU121-0.1*LU125), 0))</f>
        <v>30723.14119991619</v>
      </c>
      <c r="LV127" s="5">
        <f t="shared" ref="LV127" si="399">$B$127*MIN(LV126, 0.5*LV125, MAX((LV121-0.1*LV125), 0))</f>
        <v>30888.976458741301</v>
      </c>
      <c r="LW127" s="5">
        <f t="shared" ref="LW127" si="400">$B$127*MIN(LW126, 0.5*LW125, MAX((LW121-0.1*LW125), 0))</f>
        <v>31055.592405271011</v>
      </c>
      <c r="LX127" s="5">
        <f t="shared" ref="LX127" si="401">$B$127*MIN(LX126, 0.5*LX125, MAX((LX121-0.1*LX125), 0))</f>
        <v>31222.99153675096</v>
      </c>
      <c r="LY127" s="5">
        <f t="shared" ref="LY127" si="402">$B$127*MIN(LY126, 0.5*LY125, MAX((LY121-0.1*LY125), 0))</f>
        <v>31391.176344513933</v>
      </c>
      <c r="LZ127" s="5">
        <f t="shared" ref="LZ127" si="403">$B$127*MIN(LZ126, 0.5*LZ125, MAX((LZ121-0.1*LZ125), 0))</f>
        <v>31560.149313752412</v>
      </c>
      <c r="MA127" s="5">
        <f t="shared" ref="MA127" si="404">$B$127*MIN(MA126, 0.5*MA125, MAX((MA121-0.1*MA125), 0))</f>
        <v>31729.912923288113</v>
      </c>
      <c r="MB127" s="5">
        <f t="shared" ref="MB127" si="405">$B$127*MIN(MB126, 0.5*MB125, MAX((MB121-0.1*MB125), 0))</f>
        <v>31900.4696453383</v>
      </c>
      <c r="MC127" s="5">
        <f t="shared" ref="MC127" si="406">$B$127*MIN(MC126, 0.5*MC125, MAX((MC121-0.1*MC125), 0))</f>
        <v>32071.821945279065</v>
      </c>
      <c r="MD127" s="5">
        <f t="shared" ref="MD127" si="407">$B$127*MIN(MD126, 0.5*MD125, MAX((MD121-0.1*MD125), 0))</f>
        <v>32243.972281405309</v>
      </c>
      <c r="ME127" s="5">
        <f t="shared" ref="ME127" si="408">$B$127*MIN(ME126, 0.5*ME125, MAX((ME121-0.1*ME125), 0))</f>
        <v>32416.923104687601</v>
      </c>
      <c r="MF127" s="5">
        <f t="shared" ref="MF127" si="409">$B$127*MIN(MF126, 0.5*MF125, MAX((MF121-0.1*MF125), 0))</f>
        <v>32590.676858525709</v>
      </c>
      <c r="MG127" s="5">
        <f t="shared" ref="MG127" si="410">$B$127*MIN(MG126, 0.5*MG125, MAX((MG121-0.1*MG125), 0))</f>
        <v>32765.235978498909</v>
      </c>
      <c r="MH127" s="5">
        <f t="shared" ref="MH127" si="411">$B$127*MIN(MH126, 0.5*MH125, MAX((MH121-0.1*MH125), 0))</f>
        <v>32940.602892112904</v>
      </c>
      <c r="MI127" s="5">
        <f t="shared" ref="MI127" si="412">$B$127*MIN(MI126, 0.5*MI125, MAX((MI121-0.1*MI125), 0))</f>
        <v>33116.78001854341</v>
      </c>
      <c r="MJ127" s="5">
        <f t="shared" ref="MJ127" si="413">$B$127*MIN(MJ126, 0.5*MJ125, MAX((MJ121-0.1*MJ125), 0))</f>
        <v>33293.769768376362</v>
      </c>
      <c r="MK127" s="5">
        <f t="shared" ref="MK127" si="414">$B$127*MIN(MK126, 0.5*MK125, MAX((MK121-0.1*MK125), 0))</f>
        <v>33471.574543344672</v>
      </c>
      <c r="ML127" s="5">
        <f t="shared" ref="ML127" si="415">$B$127*MIN(ML126, 0.5*ML125, MAX((ML121-0.1*ML125), 0))</f>
        <v>33650.196736061487</v>
      </c>
      <c r="MM127" s="5">
        <f t="shared" ref="MM127" si="416">$B$127*MIN(MM126, 0.5*MM125, MAX((MM121-0.1*MM125), 0))</f>
        <v>33829.638729749982</v>
      </c>
      <c r="MN127" s="5">
        <f t="shared" ref="MN127" si="417">$B$127*MIN(MN126, 0.5*MN125, MAX((MN121-0.1*MN125), 0))</f>
        <v>34009.902897969579</v>
      </c>
      <c r="MO127" s="5">
        <f t="shared" ref="MO127" si="418">$B$127*MIN(MO126, 0.5*MO125, MAX((MO121-0.1*MO125), 0))</f>
        <v>34190.991604338597</v>
      </c>
      <c r="MP127" s="5">
        <f t="shared" ref="MP127" si="419">$B$127*MIN(MP126, 0.5*MP125, MAX((MP121-0.1*MP125), 0))</f>
        <v>34372.907202253249</v>
      </c>
      <c r="MQ127" s="5">
        <f t="shared" ref="MQ127" si="420">$B$127*MIN(MQ126, 0.5*MQ125, MAX((MQ121-0.1*MQ125), 0))</f>
        <v>34555.652034603059</v>
      </c>
      <c r="MR127" s="5">
        <f t="shared" ref="MR127" si="421">$B$127*MIN(MR126, 0.5*MR125, MAX((MR121-0.1*MR125), 0))</f>
        <v>34739.228433482429</v>
      </c>
      <c r="MS127" s="5">
        <f t="shared" ref="MS127" si="422">$B$127*MIN(MS126, 0.5*MS125, MAX((MS121-0.1*MS125), 0))</f>
        <v>34923.638719898634</v>
      </c>
      <c r="MT127" s="5">
        <f t="shared" ref="MT127" si="423">$B$127*MIN(MT126, 0.5*MT125, MAX((MT121-0.1*MT125), 0))</f>
        <v>35108.885203475875</v>
      </c>
      <c r="MU127" s="5">
        <f t="shared" ref="MU127" si="424">$B$127*MIN(MU126, 0.5*MU125, MAX((MU121-0.1*MU125), 0))</f>
        <v>35294.970182155681</v>
      </c>
      <c r="MV127" s="5">
        <f t="shared" ref="MV127" si="425">$B$127*MIN(MV126, 0.5*MV125, MAX((MV121-0.1*MV125), 0))</f>
        <v>35481.895941893257</v>
      </c>
      <c r="MW127" s="5">
        <f t="shared" ref="MW127" si="426">$B$127*MIN(MW126, 0.5*MW125, MAX((MW121-0.1*MW125), 0))</f>
        <v>35669.664756350125</v>
      </c>
      <c r="MX127" s="5">
        <f t="shared" ref="MX127" si="427">$B$127*MIN(MX126, 0.5*MX125, MAX((MX121-0.1*MX125), 0))</f>
        <v>35858.278886582615</v>
      </c>
      <c r="MY127" s="5">
        <f t="shared" ref="MY127" si="428">$B$127*MIN(MY126, 0.5*MY125, MAX((MY121-0.1*MY125), 0))</f>
        <v>0</v>
      </c>
      <c r="MZ127" s="5">
        <f t="shared" ref="MZ127" si="429">$B$127*MIN(MZ126, 0.5*MZ125, MAX((MZ121-0.1*MZ125), 0))</f>
        <v>0</v>
      </c>
      <c r="NA127" s="5">
        <f t="shared" ref="NA127" si="430">$B$127*MIN(NA126, 0.5*NA125, MAX((NA121-0.1*NA125), 0))</f>
        <v>0</v>
      </c>
      <c r="NB127" s="5">
        <f t="shared" ref="NB127" si="431">$B$127*MIN(NB126, 0.5*NB125, MAX((NB121-0.1*NB125), 0))</f>
        <v>0</v>
      </c>
      <c r="NC127" s="5">
        <f t="shared" ref="NC127" si="432">$B$127*MIN(NC126, 0.5*NC125, MAX((NC121-0.1*NC125), 0))</f>
        <v>0</v>
      </c>
      <c r="ND127" s="5">
        <f t="shared" ref="ND127" si="433">$B$127*MIN(ND126, 0.5*ND125, MAX((ND121-0.1*ND125), 0))</f>
        <v>0</v>
      </c>
      <c r="NE127" s="5">
        <f t="shared" ref="NE127" si="434">$B$127*MIN(NE126, 0.5*NE125, MAX((NE121-0.1*NE125), 0))</f>
        <v>0</v>
      </c>
      <c r="NF127" s="5">
        <f t="shared" ref="NF127" si="435">$B$127*MIN(NF126, 0.5*NF125, MAX((NF121-0.1*NF125), 0))</f>
        <v>0</v>
      </c>
      <c r="NG127" s="5">
        <f t="shared" ref="NG127:NH127" si="436">$B$127*MIN(NG126, 0.5*NG125, MAX((NG121-0.1*NG125), 0))</f>
        <v>0</v>
      </c>
      <c r="NH127" s="5">
        <f t="shared" si="436"/>
        <v>0</v>
      </c>
      <c r="NI127" s="5">
        <f t="shared" ref="NI127" si="437">$B$127*MIN(NI126, 0.5*NI125, MAX((NI121-0.1*NI125), 0))</f>
        <v>0</v>
      </c>
      <c r="NJ127" s="5">
        <f t="shared" ref="NJ127" si="438">$B$127*MIN(NJ126, 0.5*NJ125, MAX((NJ121-0.1*NJ125), 0))</f>
        <v>0</v>
      </c>
      <c r="NK127" s="5">
        <f t="shared" ref="NK127" si="439">$B$127*MIN(NK126, 0.5*NK125, MAX((NK121-0.1*NK125), 0))</f>
        <v>0</v>
      </c>
      <c r="NL127" s="5">
        <f t="shared" ref="NL127" si="440">$B$127*MIN(NL126, 0.5*NL125, MAX((NL121-0.1*NL125), 0))</f>
        <v>0</v>
      </c>
      <c r="NM127" s="5">
        <f t="shared" ref="NM127" si="441">$B$127*MIN(NM126, 0.5*NM125, MAX((NM121-0.1*NM125), 0))</f>
        <v>0</v>
      </c>
      <c r="NN127" s="5">
        <f t="shared" ref="NN127" si="442">$B$127*MIN(NN126, 0.5*NN125, MAX((NN121-0.1*NN125), 0))</f>
        <v>0</v>
      </c>
      <c r="NO127" s="5">
        <f t="shared" ref="NO127" si="443">$B$127*MIN(NO126, 0.5*NO125, MAX((NO121-0.1*NO125), 0))</f>
        <v>0</v>
      </c>
      <c r="NP127" s="5">
        <f t="shared" ref="NP127" si="444">$B$127*MIN(NP126, 0.5*NP125, MAX((NP121-0.1*NP125), 0))</f>
        <v>0</v>
      </c>
      <c r="NQ127" s="5">
        <f t="shared" ref="NQ127" si="445">$B$127*MIN(NQ126, 0.5*NQ125, MAX((NQ121-0.1*NQ125), 0))</f>
        <v>0</v>
      </c>
      <c r="NR127" s="5">
        <f t="shared" ref="NR127" si="446">$B$127*MIN(NR126, 0.5*NR125, MAX((NR121-0.1*NR125), 0))</f>
        <v>0</v>
      </c>
      <c r="NS127" s="5">
        <f t="shared" ref="NS127" si="447">$B$127*MIN(NS126, 0.5*NS125, MAX((NS121-0.1*NS125), 0))</f>
        <v>0</v>
      </c>
      <c r="NT127" s="5">
        <f t="shared" ref="NT127" si="448">$B$127*MIN(NT126, 0.5*NT125, MAX((NT121-0.1*NT125), 0))</f>
        <v>0</v>
      </c>
      <c r="NU127" s="5">
        <f t="shared" ref="NU127" si="449">$B$127*MIN(NU126, 0.5*NU125, MAX((NU121-0.1*NU125), 0))</f>
        <v>0</v>
      </c>
      <c r="NV127" s="5">
        <f t="shared" ref="NV127" si="450">$B$127*MIN(NV126, 0.5*NV125, MAX((NV121-0.1*NV125), 0))</f>
        <v>0</v>
      </c>
      <c r="NW127" s="5">
        <f t="shared" ref="NW127" si="451">$B$127*MIN(NW126, 0.5*NW125, MAX((NW121-0.1*NW125), 0))</f>
        <v>0</v>
      </c>
      <c r="NX127" s="5">
        <f t="shared" ref="NX127" si="452">$B$127*MIN(NX126, 0.5*NX125, MAX((NX121-0.1*NX125), 0))</f>
        <v>0</v>
      </c>
      <c r="NY127" s="5">
        <f t="shared" ref="NY127" si="453">$B$127*MIN(NY126, 0.5*NY125, MAX((NY121-0.1*NY125), 0))</f>
        <v>0</v>
      </c>
      <c r="NZ127" s="5">
        <f t="shared" ref="NZ127" si="454">$B$127*MIN(NZ126, 0.5*NZ125, MAX((NZ121-0.1*NZ125), 0))</f>
        <v>0</v>
      </c>
      <c r="OA127" s="5">
        <f t="shared" ref="OA127" si="455">$B$127*MIN(OA126, 0.5*OA125, MAX((OA121-0.1*OA125), 0))</f>
        <v>0</v>
      </c>
      <c r="OB127" s="5">
        <f t="shared" ref="OB127" si="456">$B$127*MIN(OB126, 0.5*OB125, MAX((OB121-0.1*OB125), 0))</f>
        <v>0</v>
      </c>
      <c r="OC127" s="5">
        <f t="shared" ref="OC127" si="457">$B$127*MIN(OC126, 0.5*OC125, MAX((OC121-0.1*OC125), 0))</f>
        <v>0</v>
      </c>
      <c r="OD127" s="5">
        <f t="shared" ref="OD127" si="458">$B$127*MIN(OD126, 0.5*OD125, MAX((OD121-0.1*OD125), 0))</f>
        <v>0</v>
      </c>
      <c r="OE127" s="5">
        <f t="shared" ref="OE127" si="459">$B$127*MIN(OE126, 0.5*OE125, MAX((OE121-0.1*OE125), 0))</f>
        <v>0</v>
      </c>
      <c r="OF127" s="5">
        <f t="shared" ref="OF127" si="460">$B$127*MIN(OF126, 0.5*OF125, MAX((OF121-0.1*OF125), 0))</f>
        <v>0</v>
      </c>
      <c r="OG127" s="5">
        <f t="shared" ref="OG127" si="461">$B$127*MIN(OG126, 0.5*OG125, MAX((OG121-0.1*OG125), 0))</f>
        <v>0</v>
      </c>
      <c r="OH127" s="5">
        <f t="shared" ref="OH127" si="462">$B$127*MIN(OH126, 0.5*OH125, MAX((OH121-0.1*OH125), 0))</f>
        <v>0</v>
      </c>
      <c r="OI127" s="5">
        <f t="shared" ref="OI127" si="463">$B$127*MIN(OI126, 0.5*OI125, MAX((OI121-0.1*OI125), 0))</f>
        <v>0</v>
      </c>
      <c r="OJ127" s="5">
        <f t="shared" ref="OJ127" si="464">$B$127*MIN(OJ126, 0.5*OJ125, MAX((OJ121-0.1*OJ125), 0))</f>
        <v>0</v>
      </c>
      <c r="OK127" s="5">
        <f t="shared" ref="OK127" si="465">$B$127*MIN(OK126, 0.5*OK125, MAX((OK121-0.1*OK125), 0))</f>
        <v>0</v>
      </c>
      <c r="OL127" s="5">
        <f t="shared" ref="OL127" si="466">$B$127*MIN(OL126, 0.5*OL125, MAX((OL121-0.1*OL125), 0))</f>
        <v>0</v>
      </c>
      <c r="OM127" s="5">
        <f t="shared" ref="OM127" si="467">$B$127*MIN(OM126, 0.5*OM125, MAX((OM121-0.1*OM125), 0))</f>
        <v>0</v>
      </c>
      <c r="ON127" s="5">
        <f t="shared" ref="ON127" si="468">$B$127*MIN(ON126, 0.5*ON125, MAX((ON121-0.1*ON125), 0))</f>
        <v>0</v>
      </c>
      <c r="OO127" s="5">
        <f t="shared" ref="OO127" si="469">$B$127*MIN(OO126, 0.5*OO125, MAX((OO121-0.1*OO125), 0))</f>
        <v>0</v>
      </c>
      <c r="OP127" s="5">
        <f t="shared" ref="OP127" si="470">$B$127*MIN(OP126, 0.5*OP125, MAX((OP121-0.1*OP125), 0))</f>
        <v>0</v>
      </c>
      <c r="OQ127" s="5">
        <f t="shared" ref="OQ127" si="471">$B$127*MIN(OQ126, 0.5*OQ125, MAX((OQ121-0.1*OQ125), 0))</f>
        <v>0</v>
      </c>
      <c r="OR127" s="5">
        <f t="shared" ref="OR127" si="472">$B$127*MIN(OR126, 0.5*OR125, MAX((OR121-0.1*OR125), 0))</f>
        <v>0</v>
      </c>
      <c r="OS127" s="5">
        <f t="shared" ref="OS127" si="473">$B$127*MIN(OS126, 0.5*OS125, MAX((OS121-0.1*OS125), 0))</f>
        <v>0</v>
      </c>
      <c r="OT127" s="5">
        <f t="shared" ref="OT127" si="474">$B$127*MIN(OT126, 0.5*OT125, MAX((OT121-0.1*OT125), 0))</f>
        <v>0</v>
      </c>
      <c r="OU127" s="5">
        <f t="shared" ref="OU127" si="475">$B$127*MIN(OU126, 0.5*OU125, MAX((OU121-0.1*OU125), 0))</f>
        <v>0</v>
      </c>
      <c r="OV127" s="5">
        <f t="shared" ref="OV127" si="476">$B$127*MIN(OV126, 0.5*OV125, MAX((OV121-0.1*OV125), 0))</f>
        <v>0</v>
      </c>
      <c r="OW127" s="5">
        <f t="shared" ref="OW127" si="477">$B$127*MIN(OW126, 0.5*OW125, MAX((OW121-0.1*OW125), 0))</f>
        <v>0</v>
      </c>
      <c r="OX127" s="5">
        <f t="shared" ref="OX127" si="478">$B$127*MIN(OX126, 0.5*OX125, MAX((OX121-0.1*OX125), 0))</f>
        <v>0</v>
      </c>
      <c r="OY127" s="5">
        <f t="shared" ref="OY127" si="479">$B$127*MIN(OY126, 0.5*OY125, MAX((OY121-0.1*OY125), 0))</f>
        <v>0</v>
      </c>
      <c r="OZ127" s="5">
        <f t="shared" ref="OZ127" si="480">$B$127*MIN(OZ126, 0.5*OZ125, MAX((OZ121-0.1*OZ125), 0))</f>
        <v>0</v>
      </c>
      <c r="PA127" s="5">
        <f t="shared" ref="PA127" si="481">$B$127*MIN(PA126, 0.5*PA125, MAX((PA121-0.1*PA125), 0))</f>
        <v>0</v>
      </c>
      <c r="PB127" s="5">
        <f t="shared" ref="PB127" si="482">$B$127*MIN(PB126, 0.5*PB125, MAX((PB121-0.1*PB125), 0))</f>
        <v>0</v>
      </c>
      <c r="PC127" s="5">
        <f t="shared" ref="PC127" si="483">$B$127*MIN(PC126, 0.5*PC125, MAX((PC121-0.1*PC125), 0))</f>
        <v>0</v>
      </c>
      <c r="PD127" s="5">
        <f t="shared" ref="PD127" si="484">$B$127*MIN(PD126, 0.5*PD125, MAX((PD121-0.1*PD125), 0))</f>
        <v>0</v>
      </c>
      <c r="PE127" s="5">
        <f t="shared" ref="PE127" si="485">$B$127*MIN(PE126, 0.5*PE125, MAX((PE121-0.1*PE125), 0))</f>
        <v>0</v>
      </c>
      <c r="PF127" s="5">
        <f t="shared" ref="PF127" si="486">$B$127*MIN(PF126, 0.5*PF125, MAX((PF121-0.1*PF125), 0))</f>
        <v>0</v>
      </c>
    </row>
    <row r="128" spans="1:422" hidden="1">
      <c r="A128" s="6"/>
      <c r="C128" s="18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</row>
    <row r="129" spans="1:422" ht="45" hidden="1">
      <c r="A129" s="7" t="s">
        <v>54</v>
      </c>
      <c r="C129" s="18">
        <f>IF(C95&lt;=$B$92, $E$30/12*B23, 0)</f>
        <v>15000</v>
      </c>
      <c r="D129" s="5">
        <f t="shared" ref="D129:BO129" si="487">IF(D95&lt;=$B$92, C129*(1+$E$30/12), 0)</f>
        <v>15112.500000000002</v>
      </c>
      <c r="E129" s="5">
        <f t="shared" si="487"/>
        <v>15225.843750000004</v>
      </c>
      <c r="F129" s="5">
        <f t="shared" si="487"/>
        <v>15340.037578125004</v>
      </c>
      <c r="G129" s="5">
        <f t="shared" si="487"/>
        <v>15455.087859960942</v>
      </c>
      <c r="H129" s="5">
        <f t="shared" si="487"/>
        <v>15571.001018910651</v>
      </c>
      <c r="I129" s="5">
        <f t="shared" si="487"/>
        <v>15687.783526552481</v>
      </c>
      <c r="J129" s="5">
        <f t="shared" si="487"/>
        <v>15805.441903001625</v>
      </c>
      <c r="K129" s="5">
        <f t="shared" si="487"/>
        <v>15923.982717274139</v>
      </c>
      <c r="L129" s="5">
        <f t="shared" si="487"/>
        <v>16043.412587653696</v>
      </c>
      <c r="M129" s="5">
        <f t="shared" si="487"/>
        <v>16163.738182061101</v>
      </c>
      <c r="N129" s="5">
        <f t="shared" si="487"/>
        <v>16284.96621842656</v>
      </c>
      <c r="O129" s="5">
        <f t="shared" si="487"/>
        <v>16407.10346506476</v>
      </c>
      <c r="P129" s="5">
        <f t="shared" si="487"/>
        <v>16530.156741052746</v>
      </c>
      <c r="Q129" s="5">
        <f t="shared" si="487"/>
        <v>16654.132916610644</v>
      </c>
      <c r="R129" s="5">
        <f t="shared" si="487"/>
        <v>16779.038913485227</v>
      </c>
      <c r="S129" s="5">
        <f t="shared" si="487"/>
        <v>16904.881705336367</v>
      </c>
      <c r="T129" s="5">
        <f t="shared" si="487"/>
        <v>17031.668318126391</v>
      </c>
      <c r="U129" s="5">
        <f t="shared" si="487"/>
        <v>17159.40583051234</v>
      </c>
      <c r="V129" s="5">
        <f t="shared" si="487"/>
        <v>17288.101374241185</v>
      </c>
      <c r="W129" s="5">
        <f t="shared" si="487"/>
        <v>17417.762134547997</v>
      </c>
      <c r="X129" s="5">
        <f t="shared" si="487"/>
        <v>17548.395350557108</v>
      </c>
      <c r="Y129" s="5">
        <f t="shared" si="487"/>
        <v>17680.008315686286</v>
      </c>
      <c r="Z129" s="5">
        <f t="shared" si="487"/>
        <v>17812.608378053934</v>
      </c>
      <c r="AA129" s="5">
        <f t="shared" si="487"/>
        <v>17946.20294088934</v>
      </c>
      <c r="AB129" s="5">
        <f t="shared" si="487"/>
        <v>18080.799462946012</v>
      </c>
      <c r="AC129" s="5">
        <f t="shared" si="487"/>
        <v>18216.405458918107</v>
      </c>
      <c r="AD129" s="5">
        <f t="shared" si="487"/>
        <v>18353.028499859993</v>
      </c>
      <c r="AE129" s="5">
        <f t="shared" si="487"/>
        <v>18490.676213608946</v>
      </c>
      <c r="AF129" s="5">
        <f t="shared" si="487"/>
        <v>18629.356285211015</v>
      </c>
      <c r="AG129" s="5">
        <f t="shared" si="487"/>
        <v>18769.0764573501</v>
      </c>
      <c r="AH129" s="5">
        <f t="shared" si="487"/>
        <v>18909.844530780229</v>
      </c>
      <c r="AI129" s="5">
        <f t="shared" si="487"/>
        <v>19051.668364761081</v>
      </c>
      <c r="AJ129" s="5">
        <f t="shared" si="487"/>
        <v>19194.55587749679</v>
      </c>
      <c r="AK129" s="5">
        <f t="shared" si="487"/>
        <v>19338.515046578017</v>
      </c>
      <c r="AL129" s="5">
        <f t="shared" si="487"/>
        <v>19483.553909427352</v>
      </c>
      <c r="AM129" s="5">
        <f t="shared" si="487"/>
        <v>19629.680563748057</v>
      </c>
      <c r="AN129" s="5">
        <f t="shared" si="487"/>
        <v>19776.903167976168</v>
      </c>
      <c r="AO129" s="5">
        <f t="shared" si="487"/>
        <v>19925.22994173599</v>
      </c>
      <c r="AP129" s="5">
        <f t="shared" si="487"/>
        <v>20074.669166299012</v>
      </c>
      <c r="AQ129" s="5">
        <f t="shared" si="487"/>
        <v>20225.229185046257</v>
      </c>
      <c r="AR129" s="5">
        <f t="shared" si="487"/>
        <v>20376.918403934105</v>
      </c>
      <c r="AS129" s="5">
        <f t="shared" si="487"/>
        <v>20529.745291963613</v>
      </c>
      <c r="AT129" s="5">
        <f t="shared" si="487"/>
        <v>20683.71838165334</v>
      </c>
      <c r="AU129" s="5">
        <f t="shared" si="487"/>
        <v>20838.84626951574</v>
      </c>
      <c r="AV129" s="5">
        <f t="shared" si="487"/>
        <v>20995.137616537108</v>
      </c>
      <c r="AW129" s="5">
        <f t="shared" si="487"/>
        <v>21152.601148661139</v>
      </c>
      <c r="AX129" s="5">
        <f t="shared" si="487"/>
        <v>21311.2456572761</v>
      </c>
      <c r="AY129" s="5">
        <f t="shared" si="487"/>
        <v>21471.079999705671</v>
      </c>
      <c r="AZ129" s="5">
        <f t="shared" si="487"/>
        <v>21632.113099703463</v>
      </c>
      <c r="BA129" s="5">
        <f t="shared" si="487"/>
        <v>21794.35394795124</v>
      </c>
      <c r="BB129" s="5">
        <f t="shared" si="487"/>
        <v>21957.811602560876</v>
      </c>
      <c r="BC129" s="5">
        <f t="shared" si="487"/>
        <v>22122.495189580084</v>
      </c>
      <c r="BD129" s="5">
        <f t="shared" si="487"/>
        <v>22288.413903501936</v>
      </c>
      <c r="BE129" s="5">
        <f t="shared" si="487"/>
        <v>22455.577007778204</v>
      </c>
      <c r="BF129" s="5">
        <f t="shared" si="487"/>
        <v>22623.993835336543</v>
      </c>
      <c r="BG129" s="5">
        <f t="shared" si="487"/>
        <v>22793.673789101569</v>
      </c>
      <c r="BH129" s="5">
        <f t="shared" si="487"/>
        <v>22964.626342519834</v>
      </c>
      <c r="BI129" s="5">
        <f t="shared" si="487"/>
        <v>23136.861040088734</v>
      </c>
      <c r="BJ129" s="5">
        <f t="shared" si="487"/>
        <v>23310.387497889402</v>
      </c>
      <c r="BK129" s="5">
        <f t="shared" si="487"/>
        <v>23485.215404123574</v>
      </c>
      <c r="BL129" s="5">
        <f t="shared" si="487"/>
        <v>23661.354519654502</v>
      </c>
      <c r="BM129" s="5">
        <f t="shared" si="487"/>
        <v>23838.814678551913</v>
      </c>
      <c r="BN129" s="5">
        <f t="shared" si="487"/>
        <v>24017.605788641053</v>
      </c>
      <c r="BO129" s="5">
        <f t="shared" si="487"/>
        <v>24197.737832055864</v>
      </c>
      <c r="BP129" s="5">
        <f t="shared" ref="BP129:EA129" si="488">IF(BP95&lt;=$B$92, BO129*(1+$E$30/12), 0)</f>
        <v>24379.220865796284</v>
      </c>
      <c r="BQ129" s="5">
        <f t="shared" si="488"/>
        <v>24562.065022289757</v>
      </c>
      <c r="BR129" s="5">
        <f t="shared" si="488"/>
        <v>24746.28050995693</v>
      </c>
      <c r="BS129" s="5">
        <f t="shared" si="488"/>
        <v>24931.877613781609</v>
      </c>
      <c r="BT129" s="5">
        <f t="shared" si="488"/>
        <v>25118.866695884972</v>
      </c>
      <c r="BU129" s="5">
        <f t="shared" si="488"/>
        <v>25307.258196104111</v>
      </c>
      <c r="BV129" s="5">
        <f t="shared" si="488"/>
        <v>25497.062632574893</v>
      </c>
      <c r="BW129" s="5">
        <f t="shared" si="488"/>
        <v>25688.290602319204</v>
      </c>
      <c r="BX129" s="5">
        <f t="shared" si="488"/>
        <v>25880.9527818366</v>
      </c>
      <c r="BY129" s="5">
        <f t="shared" si="488"/>
        <v>26075.059927700375</v>
      </c>
      <c r="BZ129" s="5">
        <f t="shared" si="488"/>
        <v>26270.62287715813</v>
      </c>
      <c r="CA129" s="5">
        <f t="shared" si="488"/>
        <v>26467.652548736816</v>
      </c>
      <c r="CB129" s="5">
        <f t="shared" si="488"/>
        <v>26666.159942852344</v>
      </c>
      <c r="CC129" s="5">
        <f t="shared" si="488"/>
        <v>26866.156142423737</v>
      </c>
      <c r="CD129" s="5">
        <f t="shared" si="488"/>
        <v>27067.652313491915</v>
      </c>
      <c r="CE129" s="5">
        <f t="shared" si="488"/>
        <v>27270.659705843107</v>
      </c>
      <c r="CF129" s="5">
        <f t="shared" si="488"/>
        <v>27475.189653636931</v>
      </c>
      <c r="CG129" s="5">
        <f t="shared" si="488"/>
        <v>27681.253576039209</v>
      </c>
      <c r="CH129" s="5">
        <f t="shared" si="488"/>
        <v>27888.862977859506</v>
      </c>
      <c r="CI129" s="5">
        <f t="shared" si="488"/>
        <v>28098.029450193455</v>
      </c>
      <c r="CJ129" s="5">
        <f t="shared" si="488"/>
        <v>28308.764671069908</v>
      </c>
      <c r="CK129" s="5">
        <f t="shared" si="488"/>
        <v>28521.080406102934</v>
      </c>
      <c r="CL129" s="5">
        <f t="shared" si="488"/>
        <v>28734.988509148709</v>
      </c>
      <c r="CM129" s="5">
        <f t="shared" si="488"/>
        <v>28950.500922967327</v>
      </c>
      <c r="CN129" s="5">
        <f t="shared" si="488"/>
        <v>29167.629679889582</v>
      </c>
      <c r="CO129" s="5">
        <f t="shared" si="488"/>
        <v>29386.386902488757</v>
      </c>
      <c r="CP129" s="5">
        <f t="shared" si="488"/>
        <v>29606.784804257426</v>
      </c>
      <c r="CQ129" s="5">
        <f t="shared" si="488"/>
        <v>29828.835690289357</v>
      </c>
      <c r="CR129" s="5">
        <f t="shared" si="488"/>
        <v>30052.551957966531</v>
      </c>
      <c r="CS129" s="5">
        <f t="shared" si="488"/>
        <v>30277.946097651282</v>
      </c>
      <c r="CT129" s="5">
        <f t="shared" si="488"/>
        <v>30505.030693383669</v>
      </c>
      <c r="CU129" s="5">
        <f t="shared" si="488"/>
        <v>30733.818423584049</v>
      </c>
      <c r="CV129" s="5">
        <f t="shared" si="488"/>
        <v>30964.32206176093</v>
      </c>
      <c r="CW129" s="5">
        <f t="shared" si="488"/>
        <v>31196.554477224137</v>
      </c>
      <c r="CX129" s="5">
        <f t="shared" si="488"/>
        <v>31430.528635803319</v>
      </c>
      <c r="CY129" s="5">
        <f t="shared" si="488"/>
        <v>31666.257600571847</v>
      </c>
      <c r="CZ129" s="5">
        <f t="shared" si="488"/>
        <v>31903.754532576138</v>
      </c>
      <c r="DA129" s="5">
        <f t="shared" si="488"/>
        <v>32143.032691570461</v>
      </c>
      <c r="DB129" s="5">
        <f t="shared" si="488"/>
        <v>32384.10543675724</v>
      </c>
      <c r="DC129" s="5">
        <f t="shared" si="488"/>
        <v>32626.986227532921</v>
      </c>
      <c r="DD129" s="5">
        <f t="shared" si="488"/>
        <v>32871.688624239418</v>
      </c>
      <c r="DE129" s="5">
        <f t="shared" si="488"/>
        <v>33118.226288921214</v>
      </c>
      <c r="DF129" s="5">
        <f t="shared" si="488"/>
        <v>33366.612986088126</v>
      </c>
      <c r="DG129" s="5">
        <f t="shared" si="488"/>
        <v>33616.862583483788</v>
      </c>
      <c r="DH129" s="5">
        <f t="shared" si="488"/>
        <v>33868.989052859921</v>
      </c>
      <c r="DI129" s="5">
        <f t="shared" si="488"/>
        <v>34123.006470756372</v>
      </c>
      <c r="DJ129" s="5">
        <f t="shared" si="488"/>
        <v>34378.929019287047</v>
      </c>
      <c r="DK129" s="5">
        <f t="shared" si="488"/>
        <v>34636.770986931704</v>
      </c>
      <c r="DL129" s="5">
        <f t="shared" si="488"/>
        <v>34896.54676933369</v>
      </c>
      <c r="DM129" s="5">
        <f t="shared" si="488"/>
        <v>35158.270870103697</v>
      </c>
      <c r="DN129" s="5">
        <f t="shared" si="488"/>
        <v>35421.957901629474</v>
      </c>
      <c r="DO129" s="5">
        <f t="shared" si="488"/>
        <v>35687.622585891695</v>
      </c>
      <c r="DP129" s="5">
        <f t="shared" si="488"/>
        <v>35955.279755285883</v>
      </c>
      <c r="DQ129" s="5">
        <f t="shared" si="488"/>
        <v>36224.944353450526</v>
      </c>
      <c r="DR129" s="5">
        <f t="shared" si="488"/>
        <v>36496.631436101408</v>
      </c>
      <c r="DS129" s="5">
        <f t="shared" si="488"/>
        <v>36770.356171872168</v>
      </c>
      <c r="DT129" s="5">
        <f t="shared" si="488"/>
        <v>37046.133843161209</v>
      </c>
      <c r="DU129" s="5">
        <f t="shared" si="488"/>
        <v>37323.979846984919</v>
      </c>
      <c r="DV129" s="5">
        <f t="shared" si="488"/>
        <v>37603.909695837312</v>
      </c>
      <c r="DW129" s="5">
        <f t="shared" si="488"/>
        <v>37885.939018556091</v>
      </c>
      <c r="DX129" s="5">
        <f t="shared" si="488"/>
        <v>38170.083561195264</v>
      </c>
      <c r="DY129" s="5">
        <f t="shared" si="488"/>
        <v>38456.359187904229</v>
      </c>
      <c r="DZ129" s="5">
        <f t="shared" si="488"/>
        <v>38744.781881813513</v>
      </c>
      <c r="EA129" s="5">
        <f t="shared" si="488"/>
        <v>39035.36774592712</v>
      </c>
      <c r="EB129" s="5">
        <f t="shared" ref="EB129:GM129" si="489">IF(EB95&lt;=$B$92, EA129*(1+$E$30/12), 0)</f>
        <v>39328.133004021576</v>
      </c>
      <c r="EC129" s="5">
        <f t="shared" si="489"/>
        <v>39623.094001551741</v>
      </c>
      <c r="ED129" s="5">
        <f t="shared" si="489"/>
        <v>39920.267206563381</v>
      </c>
      <c r="EE129" s="5">
        <f t="shared" si="489"/>
        <v>40219.669210612607</v>
      </c>
      <c r="EF129" s="5">
        <f t="shared" si="489"/>
        <v>40521.316729692204</v>
      </c>
      <c r="EG129" s="5">
        <f t="shared" si="489"/>
        <v>40825.226605164899</v>
      </c>
      <c r="EH129" s="5">
        <f t="shared" si="489"/>
        <v>41131.41580470364</v>
      </c>
      <c r="EI129" s="5">
        <f t="shared" si="489"/>
        <v>41439.901423238916</v>
      </c>
      <c r="EJ129" s="5">
        <f t="shared" si="489"/>
        <v>41750.700683913208</v>
      </c>
      <c r="EK129" s="5">
        <f t="shared" si="489"/>
        <v>42063.830939042557</v>
      </c>
      <c r="EL129" s="5">
        <f t="shared" si="489"/>
        <v>42379.309671085379</v>
      </c>
      <c r="EM129" s="5">
        <f t="shared" si="489"/>
        <v>42697.154493618524</v>
      </c>
      <c r="EN129" s="5">
        <f t="shared" si="489"/>
        <v>43017.383152320668</v>
      </c>
      <c r="EO129" s="5">
        <f t="shared" si="489"/>
        <v>43340.013525963077</v>
      </c>
      <c r="EP129" s="5">
        <f t="shared" si="489"/>
        <v>43665.063627407806</v>
      </c>
      <c r="EQ129" s="5">
        <f t="shared" si="489"/>
        <v>43992.551604613371</v>
      </c>
      <c r="ER129" s="5">
        <f t="shared" si="489"/>
        <v>44322.495741647974</v>
      </c>
      <c r="ES129" s="5">
        <f t="shared" si="489"/>
        <v>44654.914459710337</v>
      </c>
      <c r="ET129" s="5">
        <f t="shared" si="489"/>
        <v>44989.826318158164</v>
      </c>
      <c r="EU129" s="5">
        <f t="shared" si="489"/>
        <v>45327.250015544356</v>
      </c>
      <c r="EV129" s="5">
        <f t="shared" si="489"/>
        <v>45667.20439066094</v>
      </c>
      <c r="EW129" s="5">
        <f t="shared" si="489"/>
        <v>46009.708423590899</v>
      </c>
      <c r="EX129" s="5">
        <f t="shared" si="489"/>
        <v>46354.781236767834</v>
      </c>
      <c r="EY129" s="5">
        <f t="shared" si="489"/>
        <v>46702.442096043596</v>
      </c>
      <c r="EZ129" s="5">
        <f t="shared" si="489"/>
        <v>47052.710411763925</v>
      </c>
      <c r="FA129" s="5">
        <f t="shared" si="489"/>
        <v>47405.605739852159</v>
      </c>
      <c r="FB129" s="5">
        <f t="shared" si="489"/>
        <v>47761.147782901055</v>
      </c>
      <c r="FC129" s="5">
        <f t="shared" si="489"/>
        <v>48119.356391272813</v>
      </c>
      <c r="FD129" s="5">
        <f t="shared" si="489"/>
        <v>48480.251564207363</v>
      </c>
      <c r="FE129" s="5">
        <f t="shared" si="489"/>
        <v>48843.853450938921</v>
      </c>
      <c r="FF129" s="5">
        <f t="shared" si="489"/>
        <v>49210.182351820964</v>
      </c>
      <c r="FG129" s="5">
        <f t="shared" si="489"/>
        <v>49579.258719459627</v>
      </c>
      <c r="FH129" s="5">
        <f t="shared" si="489"/>
        <v>49951.103159855578</v>
      </c>
      <c r="FI129" s="5">
        <f t="shared" si="489"/>
        <v>50325.736433554499</v>
      </c>
      <c r="FJ129" s="5">
        <f t="shared" si="489"/>
        <v>50703.17945680616</v>
      </c>
      <c r="FK129" s="5">
        <f t="shared" si="489"/>
        <v>51083.45330273221</v>
      </c>
      <c r="FL129" s="5">
        <f t="shared" si="489"/>
        <v>51466.579202502704</v>
      </c>
      <c r="FM129" s="5">
        <f t="shared" si="489"/>
        <v>51852.578546521479</v>
      </c>
      <c r="FN129" s="5">
        <f t="shared" si="489"/>
        <v>52241.472885620395</v>
      </c>
      <c r="FO129" s="5">
        <f t="shared" si="489"/>
        <v>52633.283932262551</v>
      </c>
      <c r="FP129" s="5">
        <f t="shared" si="489"/>
        <v>53028.033561754521</v>
      </c>
      <c r="FQ129" s="5">
        <f t="shared" si="489"/>
        <v>53425.743813467685</v>
      </c>
      <c r="FR129" s="5">
        <f t="shared" si="489"/>
        <v>53826.436892068697</v>
      </c>
      <c r="FS129" s="5">
        <f t="shared" si="489"/>
        <v>54230.135168759218</v>
      </c>
      <c r="FT129" s="5">
        <f t="shared" si="489"/>
        <v>54636.861182524917</v>
      </c>
      <c r="FU129" s="5">
        <f t="shared" si="489"/>
        <v>55046.637641393856</v>
      </c>
      <c r="FV129" s="5">
        <f t="shared" si="489"/>
        <v>55459.487423704311</v>
      </c>
      <c r="FW129" s="5">
        <f t="shared" si="489"/>
        <v>55875.433579382094</v>
      </c>
      <c r="FX129" s="5">
        <f t="shared" si="489"/>
        <v>56294.49933122746</v>
      </c>
      <c r="FY129" s="5">
        <f t="shared" si="489"/>
        <v>56716.708076211668</v>
      </c>
      <c r="FZ129" s="5">
        <f t="shared" si="489"/>
        <v>57142.083386783255</v>
      </c>
      <c r="GA129" s="5">
        <f t="shared" si="489"/>
        <v>57570.649012184134</v>
      </c>
      <c r="GB129" s="5">
        <f t="shared" si="489"/>
        <v>58002.428879775522</v>
      </c>
      <c r="GC129" s="5">
        <f t="shared" si="489"/>
        <v>58437.447096373842</v>
      </c>
      <c r="GD129" s="5">
        <f t="shared" si="489"/>
        <v>58875.72794959665</v>
      </c>
      <c r="GE129" s="5">
        <f t="shared" si="489"/>
        <v>59317.295909218628</v>
      </c>
      <c r="GF129" s="5">
        <f t="shared" si="489"/>
        <v>59762.175628537771</v>
      </c>
      <c r="GG129" s="5">
        <f t="shared" si="489"/>
        <v>60210.391945751806</v>
      </c>
      <c r="GH129" s="5">
        <f t="shared" si="489"/>
        <v>60661.969885344952</v>
      </c>
      <c r="GI129" s="5">
        <f t="shared" si="489"/>
        <v>61116.934659485043</v>
      </c>
      <c r="GJ129" s="5">
        <f t="shared" si="489"/>
        <v>61575.311669431183</v>
      </c>
      <c r="GK129" s="5">
        <f t="shared" si="489"/>
        <v>62037.126506951921</v>
      </c>
      <c r="GL129" s="5">
        <f t="shared" si="489"/>
        <v>62502.404955754064</v>
      </c>
      <c r="GM129" s="5">
        <f t="shared" si="489"/>
        <v>62971.17299292222</v>
      </c>
      <c r="GN129" s="5">
        <f t="shared" ref="GN129:IY129" si="490">IF(GN95&lt;=$B$92, GM129*(1+$E$30/12), 0)</f>
        <v>63443.456790369142</v>
      </c>
      <c r="GO129" s="5">
        <f t="shared" si="490"/>
        <v>63919.282716296912</v>
      </c>
      <c r="GP129" s="5">
        <f t="shared" si="490"/>
        <v>64398.677336669141</v>
      </c>
      <c r="GQ129" s="5">
        <f t="shared" si="490"/>
        <v>64881.667416694167</v>
      </c>
      <c r="GR129" s="5">
        <f t="shared" si="490"/>
        <v>65368.27992231938</v>
      </c>
      <c r="GS129" s="5">
        <f t="shared" si="490"/>
        <v>65858.542021736779</v>
      </c>
      <c r="GT129" s="5">
        <f t="shared" si="490"/>
        <v>66352.481086899803</v>
      </c>
      <c r="GU129" s="5">
        <f t="shared" si="490"/>
        <v>66850.124695051549</v>
      </c>
      <c r="GV129" s="5">
        <f t="shared" si="490"/>
        <v>67351.500630264432</v>
      </c>
      <c r="GW129" s="5">
        <f t="shared" si="490"/>
        <v>67856.636884991414</v>
      </c>
      <c r="GX129" s="5">
        <f t="shared" si="490"/>
        <v>68365.561661628861</v>
      </c>
      <c r="GY129" s="5">
        <f t="shared" si="490"/>
        <v>68878.303374091076</v>
      </c>
      <c r="GZ129" s="5">
        <f t="shared" si="490"/>
        <v>69394.890649396766</v>
      </c>
      <c r="HA129" s="5">
        <f t="shared" si="490"/>
        <v>69915.352329267247</v>
      </c>
      <c r="HB129" s="5">
        <f t="shared" si="490"/>
        <v>70439.71747173676</v>
      </c>
      <c r="HC129" s="5">
        <f t="shared" si="490"/>
        <v>70968.01535277479</v>
      </c>
      <c r="HD129" s="5">
        <f t="shared" si="490"/>
        <v>71500.275467920612</v>
      </c>
      <c r="HE129" s="5">
        <f t="shared" si="490"/>
        <v>72036.527533930028</v>
      </c>
      <c r="HF129" s="5">
        <f t="shared" si="490"/>
        <v>72576.801490434504</v>
      </c>
      <c r="HG129" s="5">
        <f t="shared" si="490"/>
        <v>73121.127501612762</v>
      </c>
      <c r="HH129" s="5">
        <f t="shared" si="490"/>
        <v>73669.535957874861</v>
      </c>
      <c r="HI129" s="5">
        <f t="shared" si="490"/>
        <v>74222.057477558934</v>
      </c>
      <c r="HJ129" s="5">
        <f t="shared" si="490"/>
        <v>74778.72290864063</v>
      </c>
      <c r="HK129" s="5">
        <f t="shared" si="490"/>
        <v>75339.563330455436</v>
      </c>
      <c r="HL129" s="5">
        <f t="shared" si="490"/>
        <v>75904.610055433863</v>
      </c>
      <c r="HM129" s="5">
        <f t="shared" si="490"/>
        <v>76473.894630849623</v>
      </c>
      <c r="HN129" s="5">
        <f t="shared" si="490"/>
        <v>77047.448840580997</v>
      </c>
      <c r="HO129" s="5">
        <f t="shared" si="490"/>
        <v>77625.304706885363</v>
      </c>
      <c r="HP129" s="5">
        <f t="shared" si="490"/>
        <v>78207.494492187005</v>
      </c>
      <c r="HQ129" s="5">
        <f t="shared" si="490"/>
        <v>78794.050700878419</v>
      </c>
      <c r="HR129" s="5">
        <f t="shared" si="490"/>
        <v>79385.006081135012</v>
      </c>
      <c r="HS129" s="5">
        <f t="shared" si="490"/>
        <v>79980.393626743535</v>
      </c>
      <c r="HT129" s="5">
        <f t="shared" si="490"/>
        <v>80580.246578944119</v>
      </c>
      <c r="HU129" s="5">
        <f t="shared" si="490"/>
        <v>81184.598428286205</v>
      </c>
      <c r="HV129" s="5">
        <f t="shared" si="490"/>
        <v>81793.482916498353</v>
      </c>
      <c r="HW129" s="5">
        <f t="shared" si="490"/>
        <v>82406.934038372099</v>
      </c>
      <c r="HX129" s="5">
        <f t="shared" si="490"/>
        <v>83024.986043659897</v>
      </c>
      <c r="HY129" s="5">
        <f t="shared" si="490"/>
        <v>83647.673438987345</v>
      </c>
      <c r="HZ129" s="5">
        <f t="shared" si="490"/>
        <v>84275.030989779756</v>
      </c>
      <c r="IA129" s="5">
        <f t="shared" si="490"/>
        <v>84907.093722203106</v>
      </c>
      <c r="IB129" s="5">
        <f t="shared" si="490"/>
        <v>85543.896925119639</v>
      </c>
      <c r="IC129" s="5">
        <f t="shared" si="490"/>
        <v>86185.476152058036</v>
      </c>
      <c r="ID129" s="5">
        <f t="shared" si="490"/>
        <v>86831.867223198482</v>
      </c>
      <c r="IE129" s="5">
        <f t="shared" si="490"/>
        <v>87483.106227372482</v>
      </c>
      <c r="IF129" s="5">
        <f t="shared" si="490"/>
        <v>88139.229524077775</v>
      </c>
      <c r="IG129" s="5">
        <f t="shared" si="490"/>
        <v>88800.27374550837</v>
      </c>
      <c r="IH129" s="5">
        <f t="shared" si="490"/>
        <v>89466.275798599687</v>
      </c>
      <c r="II129" s="5">
        <f t="shared" si="490"/>
        <v>90137.272867089196</v>
      </c>
      <c r="IJ129" s="5">
        <f t="shared" si="490"/>
        <v>90813.302413592377</v>
      </c>
      <c r="IK129" s="5">
        <f t="shared" si="490"/>
        <v>91494.402181694328</v>
      </c>
      <c r="IL129" s="5">
        <f t="shared" si="490"/>
        <v>92180.610198057038</v>
      </c>
      <c r="IM129" s="5">
        <f t="shared" si="490"/>
        <v>92871.964774542474</v>
      </c>
      <c r="IN129" s="5">
        <f t="shared" si="490"/>
        <v>93568.504510351544</v>
      </c>
      <c r="IO129" s="5">
        <f t="shared" si="490"/>
        <v>94270.268294179186</v>
      </c>
      <c r="IP129" s="5">
        <f t="shared" si="490"/>
        <v>94977.295306385538</v>
      </c>
      <c r="IQ129" s="5">
        <f t="shared" si="490"/>
        <v>95689.625021183441</v>
      </c>
      <c r="IR129" s="5">
        <f t="shared" si="490"/>
        <v>96407.297208842327</v>
      </c>
      <c r="IS129" s="5">
        <f t="shared" si="490"/>
        <v>97130.35193790865</v>
      </c>
      <c r="IT129" s="5">
        <f t="shared" si="490"/>
        <v>97858.829577442972</v>
      </c>
      <c r="IU129" s="5">
        <f t="shared" si="490"/>
        <v>98592.7707992738</v>
      </c>
      <c r="IV129" s="5">
        <f t="shared" si="490"/>
        <v>99332.216580268359</v>
      </c>
      <c r="IW129" s="5">
        <f t="shared" si="490"/>
        <v>100077.20820462037</v>
      </c>
      <c r="IX129" s="5">
        <f t="shared" si="490"/>
        <v>100827.78726615504</v>
      </c>
      <c r="IY129" s="5">
        <f t="shared" si="490"/>
        <v>101583.9956706512</v>
      </c>
      <c r="IZ129" s="5">
        <f t="shared" ref="IZ129:LK129" si="491">IF(IZ95&lt;=$B$92, IY129*(1+$E$30/12), 0)</f>
        <v>102345.8756381811</v>
      </c>
      <c r="JA129" s="5">
        <f t="shared" si="491"/>
        <v>103113.46970546746</v>
      </c>
      <c r="JB129" s="5">
        <f t="shared" si="491"/>
        <v>103886.82072825848</v>
      </c>
      <c r="JC129" s="5">
        <f t="shared" si="491"/>
        <v>104665.97188372043</v>
      </c>
      <c r="JD129" s="5">
        <f t="shared" si="491"/>
        <v>105450.96667284834</v>
      </c>
      <c r="JE129" s="5">
        <f t="shared" si="491"/>
        <v>106241.84892289471</v>
      </c>
      <c r="JF129" s="5">
        <f t="shared" si="491"/>
        <v>107038.66278981643</v>
      </c>
      <c r="JG129" s="5">
        <f t="shared" si="491"/>
        <v>107841.45276074007</v>
      </c>
      <c r="JH129" s="5">
        <f t="shared" si="491"/>
        <v>108650.26365644562</v>
      </c>
      <c r="JI129" s="5">
        <f t="shared" si="491"/>
        <v>109465.14063386897</v>
      </c>
      <c r="JJ129" s="5">
        <f t="shared" si="491"/>
        <v>110286.12918862299</v>
      </c>
      <c r="JK129" s="5">
        <f t="shared" si="491"/>
        <v>111113.27515753766</v>
      </c>
      <c r="JL129" s="5">
        <f t="shared" si="491"/>
        <v>111946.6247212192</v>
      </c>
      <c r="JM129" s="5">
        <f t="shared" si="491"/>
        <v>112786.22440662835</v>
      </c>
      <c r="JN129" s="5">
        <f t="shared" si="491"/>
        <v>113632.12108967807</v>
      </c>
      <c r="JO129" s="5">
        <f t="shared" si="491"/>
        <v>114484.36199785066</v>
      </c>
      <c r="JP129" s="5">
        <f t="shared" si="491"/>
        <v>115342.99471283455</v>
      </c>
      <c r="JQ129" s="5">
        <f t="shared" si="491"/>
        <v>116208.06717318083</v>
      </c>
      <c r="JR129" s="5">
        <f t="shared" si="491"/>
        <v>117079.62767697968</v>
      </c>
      <c r="JS129" s="5">
        <f t="shared" si="491"/>
        <v>117957.72488455704</v>
      </c>
      <c r="JT129" s="5">
        <f t="shared" si="491"/>
        <v>118842.40782119123</v>
      </c>
      <c r="JU129" s="5">
        <f t="shared" si="491"/>
        <v>119733.72587985017</v>
      </c>
      <c r="JV129" s="5">
        <f t="shared" si="491"/>
        <v>120631.72882394906</v>
      </c>
      <c r="JW129" s="5">
        <f t="shared" si="491"/>
        <v>121536.46679012869</v>
      </c>
      <c r="JX129" s="5">
        <f t="shared" si="491"/>
        <v>122447.99029105467</v>
      </c>
      <c r="JY129" s="5">
        <f t="shared" si="491"/>
        <v>123366.35021823758</v>
      </c>
      <c r="JZ129" s="5">
        <f t="shared" si="491"/>
        <v>124291.59784487437</v>
      </c>
      <c r="KA129" s="5">
        <f t="shared" si="491"/>
        <v>125223.78482871094</v>
      </c>
      <c r="KB129" s="5">
        <f t="shared" si="491"/>
        <v>126162.96321492628</v>
      </c>
      <c r="KC129" s="5">
        <f t="shared" si="491"/>
        <v>127109.18543903824</v>
      </c>
      <c r="KD129" s="5">
        <f t="shared" si="491"/>
        <v>128062.50432983103</v>
      </c>
      <c r="KE129" s="5">
        <f t="shared" si="491"/>
        <v>129022.97311230477</v>
      </c>
      <c r="KF129" s="5">
        <f t="shared" si="491"/>
        <v>129990.64541064706</v>
      </c>
      <c r="KG129" s="5">
        <f t="shared" si="491"/>
        <v>130965.57525122692</v>
      </c>
      <c r="KH129" s="5">
        <f t="shared" si="491"/>
        <v>131947.81706561113</v>
      </c>
      <c r="KI129" s="5">
        <f t="shared" si="491"/>
        <v>132937.42569360323</v>
      </c>
      <c r="KJ129" s="5">
        <f t="shared" si="491"/>
        <v>133934.45638630528</v>
      </c>
      <c r="KK129" s="5">
        <f t="shared" si="491"/>
        <v>134938.96480920256</v>
      </c>
      <c r="KL129" s="5">
        <f t="shared" si="491"/>
        <v>135951.00704527157</v>
      </c>
      <c r="KM129" s="5">
        <f t="shared" si="491"/>
        <v>136970.63959811113</v>
      </c>
      <c r="KN129" s="5">
        <f t="shared" si="491"/>
        <v>137997.91939509698</v>
      </c>
      <c r="KO129" s="5">
        <f t="shared" si="491"/>
        <v>139032.9037905602</v>
      </c>
      <c r="KP129" s="5">
        <f t="shared" si="491"/>
        <v>140075.65056898943</v>
      </c>
      <c r="KQ129" s="5">
        <f t="shared" si="491"/>
        <v>141126.21794825685</v>
      </c>
      <c r="KR129" s="5">
        <f t="shared" si="491"/>
        <v>142184.66458286878</v>
      </c>
      <c r="KS129" s="5">
        <f t="shared" si="491"/>
        <v>143251.04956724029</v>
      </c>
      <c r="KT129" s="5">
        <f t="shared" si="491"/>
        <v>144325.43243899461</v>
      </c>
      <c r="KU129" s="5">
        <f t="shared" si="491"/>
        <v>145407.87318228709</v>
      </c>
      <c r="KV129" s="5">
        <f t="shared" si="491"/>
        <v>146498.43223115426</v>
      </c>
      <c r="KW129" s="5">
        <f t="shared" si="491"/>
        <v>147597.17047288793</v>
      </c>
      <c r="KX129" s="5">
        <f t="shared" si="491"/>
        <v>148704.1492514346</v>
      </c>
      <c r="KY129" s="5">
        <f t="shared" si="491"/>
        <v>149819.43037082037</v>
      </c>
      <c r="KZ129" s="5">
        <f t="shared" si="491"/>
        <v>150943.07609860154</v>
      </c>
      <c r="LA129" s="5">
        <f t="shared" si="491"/>
        <v>152075.14916934105</v>
      </c>
      <c r="LB129" s="5">
        <f t="shared" si="491"/>
        <v>153215.71278811112</v>
      </c>
      <c r="LC129" s="5">
        <f t="shared" si="491"/>
        <v>154364.83063402196</v>
      </c>
      <c r="LD129" s="5">
        <f t="shared" si="491"/>
        <v>155522.56686377715</v>
      </c>
      <c r="LE129" s="5">
        <f t="shared" si="491"/>
        <v>156688.98611525548</v>
      </c>
      <c r="LF129" s="5">
        <f t="shared" si="491"/>
        <v>157864.15351111992</v>
      </c>
      <c r="LG129" s="5">
        <f t="shared" si="491"/>
        <v>159048.13466245332</v>
      </c>
      <c r="LH129" s="5">
        <f t="shared" si="491"/>
        <v>160240.99567242173</v>
      </c>
      <c r="LI129" s="5">
        <f t="shared" si="491"/>
        <v>161442.8031399649</v>
      </c>
      <c r="LJ129" s="5">
        <f t="shared" si="491"/>
        <v>162653.62416351464</v>
      </c>
      <c r="LK129" s="5">
        <f t="shared" si="491"/>
        <v>163873.52634474103</v>
      </c>
      <c r="LL129" s="5">
        <f t="shared" ref="LL129:NW129" si="492">IF(LL95&lt;=$B$92, LK129*(1+$E$30/12), 0)</f>
        <v>165102.5777923266</v>
      </c>
      <c r="LM129" s="5">
        <f t="shared" si="492"/>
        <v>166340.84712576907</v>
      </c>
      <c r="LN129" s="5">
        <f t="shared" si="492"/>
        <v>167588.40347921234</v>
      </c>
      <c r="LO129" s="5">
        <f t="shared" si="492"/>
        <v>168845.31650530646</v>
      </c>
      <c r="LP129" s="5">
        <f t="shared" si="492"/>
        <v>170111.65637909627</v>
      </c>
      <c r="LQ129" s="5">
        <f t="shared" si="492"/>
        <v>171387.4938019395</v>
      </c>
      <c r="LR129" s="5">
        <f t="shared" si="492"/>
        <v>172672.90000545405</v>
      </c>
      <c r="LS129" s="5">
        <f t="shared" si="492"/>
        <v>173967.94675549498</v>
      </c>
      <c r="LT129" s="5">
        <f t="shared" si="492"/>
        <v>175272.70635616122</v>
      </c>
      <c r="LU129" s="5">
        <f t="shared" si="492"/>
        <v>176587.25165383244</v>
      </c>
      <c r="LV129" s="5">
        <f t="shared" si="492"/>
        <v>177911.65604123619</v>
      </c>
      <c r="LW129" s="5">
        <f t="shared" si="492"/>
        <v>179245.99346154547</v>
      </c>
      <c r="LX129" s="5">
        <f t="shared" si="492"/>
        <v>180590.33841250706</v>
      </c>
      <c r="LY129" s="5">
        <f t="shared" si="492"/>
        <v>181944.76595060088</v>
      </c>
      <c r="LZ129" s="5">
        <f t="shared" si="492"/>
        <v>183309.35169523041</v>
      </c>
      <c r="MA129" s="5">
        <f t="shared" si="492"/>
        <v>184684.17183294464</v>
      </c>
      <c r="MB129" s="5">
        <f t="shared" si="492"/>
        <v>186069.30312169174</v>
      </c>
      <c r="MC129" s="5">
        <f t="shared" si="492"/>
        <v>187464.82289510444</v>
      </c>
      <c r="MD129" s="5">
        <f t="shared" si="492"/>
        <v>188870.80906681775</v>
      </c>
      <c r="ME129" s="5">
        <f t="shared" si="492"/>
        <v>190287.34013481889</v>
      </c>
      <c r="MF129" s="5">
        <f t="shared" si="492"/>
        <v>191714.49518583005</v>
      </c>
      <c r="MG129" s="5">
        <f t="shared" si="492"/>
        <v>193152.35389972379</v>
      </c>
      <c r="MH129" s="5">
        <f t="shared" si="492"/>
        <v>194600.99655397172</v>
      </c>
      <c r="MI129" s="5">
        <f t="shared" si="492"/>
        <v>196060.50402812651</v>
      </c>
      <c r="MJ129" s="5">
        <f t="shared" si="492"/>
        <v>197530.95780833747</v>
      </c>
      <c r="MK129" s="5">
        <f t="shared" si="492"/>
        <v>199012.4399919</v>
      </c>
      <c r="ML129" s="5">
        <f t="shared" si="492"/>
        <v>200505.03329183927</v>
      </c>
      <c r="MM129" s="5">
        <f t="shared" si="492"/>
        <v>202008.82104152808</v>
      </c>
      <c r="MN129" s="5">
        <f t="shared" si="492"/>
        <v>203523.88719933954</v>
      </c>
      <c r="MO129" s="5">
        <f t="shared" si="492"/>
        <v>205050.31635333461</v>
      </c>
      <c r="MP129" s="5">
        <f t="shared" si="492"/>
        <v>206588.19372598463</v>
      </c>
      <c r="MQ129" s="5">
        <f t="shared" si="492"/>
        <v>208137.60517892952</v>
      </c>
      <c r="MR129" s="5">
        <f t="shared" si="492"/>
        <v>209698.63721777149</v>
      </c>
      <c r="MS129" s="5">
        <f t="shared" si="492"/>
        <v>211271.37699690479</v>
      </c>
      <c r="MT129" s="5">
        <f t="shared" si="492"/>
        <v>212855.91232438158</v>
      </c>
      <c r="MU129" s="5">
        <f t="shared" si="492"/>
        <v>214452.33166681445</v>
      </c>
      <c r="MV129" s="5">
        <f t="shared" si="492"/>
        <v>216060.72415431557</v>
      </c>
      <c r="MW129" s="5">
        <f t="shared" si="492"/>
        <v>217681.17958547294</v>
      </c>
      <c r="MX129" s="5">
        <f t="shared" si="492"/>
        <v>219313.788432364</v>
      </c>
      <c r="MY129" s="5">
        <f t="shared" si="492"/>
        <v>0</v>
      </c>
      <c r="MZ129" s="5">
        <f t="shared" si="492"/>
        <v>0</v>
      </c>
      <c r="NA129" s="5">
        <f t="shared" si="492"/>
        <v>0</v>
      </c>
      <c r="NB129" s="5">
        <f t="shared" si="492"/>
        <v>0</v>
      </c>
      <c r="NC129" s="5">
        <f t="shared" si="492"/>
        <v>0</v>
      </c>
      <c r="ND129" s="5">
        <f t="shared" si="492"/>
        <v>0</v>
      </c>
      <c r="NE129" s="5">
        <f t="shared" si="492"/>
        <v>0</v>
      </c>
      <c r="NF129" s="5">
        <f t="shared" si="492"/>
        <v>0</v>
      </c>
      <c r="NG129" s="5">
        <f t="shared" si="492"/>
        <v>0</v>
      </c>
      <c r="NH129" s="5">
        <f t="shared" si="492"/>
        <v>0</v>
      </c>
      <c r="NI129" s="5">
        <f t="shared" si="492"/>
        <v>0</v>
      </c>
      <c r="NJ129" s="5">
        <f t="shared" si="492"/>
        <v>0</v>
      </c>
      <c r="NK129" s="5">
        <f t="shared" si="492"/>
        <v>0</v>
      </c>
      <c r="NL129" s="5">
        <f t="shared" si="492"/>
        <v>0</v>
      </c>
      <c r="NM129" s="5">
        <f t="shared" si="492"/>
        <v>0</v>
      </c>
      <c r="NN129" s="5">
        <f t="shared" si="492"/>
        <v>0</v>
      </c>
      <c r="NO129" s="5">
        <f t="shared" si="492"/>
        <v>0</v>
      </c>
      <c r="NP129" s="5">
        <f t="shared" si="492"/>
        <v>0</v>
      </c>
      <c r="NQ129" s="5">
        <f t="shared" si="492"/>
        <v>0</v>
      </c>
      <c r="NR129" s="5">
        <f t="shared" si="492"/>
        <v>0</v>
      </c>
      <c r="NS129" s="5">
        <f t="shared" si="492"/>
        <v>0</v>
      </c>
      <c r="NT129" s="5">
        <f t="shared" si="492"/>
        <v>0</v>
      </c>
      <c r="NU129" s="5">
        <f t="shared" si="492"/>
        <v>0</v>
      </c>
      <c r="NV129" s="5">
        <f t="shared" si="492"/>
        <v>0</v>
      </c>
      <c r="NW129" s="5">
        <f t="shared" si="492"/>
        <v>0</v>
      </c>
      <c r="NX129" s="5">
        <f t="shared" ref="NX129:PF129" si="493">IF(NX95&lt;=$B$92, NW129*(1+$E$30/12), 0)</f>
        <v>0</v>
      </c>
      <c r="NY129" s="5">
        <f t="shared" si="493"/>
        <v>0</v>
      </c>
      <c r="NZ129" s="5">
        <f t="shared" si="493"/>
        <v>0</v>
      </c>
      <c r="OA129" s="5">
        <f t="shared" si="493"/>
        <v>0</v>
      </c>
      <c r="OB129" s="5">
        <f t="shared" si="493"/>
        <v>0</v>
      </c>
      <c r="OC129" s="5">
        <f t="shared" si="493"/>
        <v>0</v>
      </c>
      <c r="OD129" s="5">
        <f t="shared" si="493"/>
        <v>0</v>
      </c>
      <c r="OE129" s="5">
        <f t="shared" si="493"/>
        <v>0</v>
      </c>
      <c r="OF129" s="5">
        <f t="shared" si="493"/>
        <v>0</v>
      </c>
      <c r="OG129" s="5">
        <f t="shared" si="493"/>
        <v>0</v>
      </c>
      <c r="OH129" s="5">
        <f t="shared" si="493"/>
        <v>0</v>
      </c>
      <c r="OI129" s="5">
        <f t="shared" si="493"/>
        <v>0</v>
      </c>
      <c r="OJ129" s="5">
        <f t="shared" si="493"/>
        <v>0</v>
      </c>
      <c r="OK129" s="5">
        <f t="shared" si="493"/>
        <v>0</v>
      </c>
      <c r="OL129" s="5">
        <f t="shared" si="493"/>
        <v>0</v>
      </c>
      <c r="OM129" s="5">
        <f t="shared" si="493"/>
        <v>0</v>
      </c>
      <c r="ON129" s="5">
        <f t="shared" si="493"/>
        <v>0</v>
      </c>
      <c r="OO129" s="5">
        <f t="shared" si="493"/>
        <v>0</v>
      </c>
      <c r="OP129" s="5">
        <f t="shared" si="493"/>
        <v>0</v>
      </c>
      <c r="OQ129" s="5">
        <f t="shared" si="493"/>
        <v>0</v>
      </c>
      <c r="OR129" s="5">
        <f t="shared" si="493"/>
        <v>0</v>
      </c>
      <c r="OS129" s="5">
        <f t="shared" si="493"/>
        <v>0</v>
      </c>
      <c r="OT129" s="5">
        <f t="shared" si="493"/>
        <v>0</v>
      </c>
      <c r="OU129" s="5">
        <f t="shared" si="493"/>
        <v>0</v>
      </c>
      <c r="OV129" s="5">
        <f t="shared" si="493"/>
        <v>0</v>
      </c>
      <c r="OW129" s="5">
        <f t="shared" si="493"/>
        <v>0</v>
      </c>
      <c r="OX129" s="5">
        <f t="shared" si="493"/>
        <v>0</v>
      </c>
      <c r="OY129" s="5">
        <f t="shared" si="493"/>
        <v>0</v>
      </c>
      <c r="OZ129" s="5">
        <f t="shared" si="493"/>
        <v>0</v>
      </c>
      <c r="PA129" s="5">
        <f t="shared" si="493"/>
        <v>0</v>
      </c>
      <c r="PB129" s="5">
        <f t="shared" si="493"/>
        <v>0</v>
      </c>
      <c r="PC129" s="5">
        <f t="shared" si="493"/>
        <v>0</v>
      </c>
      <c r="PD129" s="5">
        <f t="shared" si="493"/>
        <v>0</v>
      </c>
      <c r="PE129" s="5">
        <f t="shared" si="493"/>
        <v>0</v>
      </c>
      <c r="PF129" s="5">
        <f t="shared" si="493"/>
        <v>0</v>
      </c>
    </row>
    <row r="130" spans="1:422" hidden="1">
      <c r="A130" s="6"/>
      <c r="C130" s="18"/>
    </row>
    <row r="131" spans="1:422" hidden="1">
      <c r="A131" s="6" t="s">
        <v>55</v>
      </c>
      <c r="B131" s="23"/>
      <c r="C131" s="18">
        <f>C129-C121-C122+C127</f>
        <v>-1055.833333333333</v>
      </c>
      <c r="D131" s="23">
        <f t="shared" ref="D131:BO131" si="494">D129-D121-D122+D127</f>
        <v>-1053.2680555555535</v>
      </c>
      <c r="E131" s="23">
        <f t="shared" si="494"/>
        <v>-1050.6157453703645</v>
      </c>
      <c r="F131" s="23">
        <f t="shared" si="494"/>
        <v>-1047.8753155883405</v>
      </c>
      <c r="G131" s="23">
        <f t="shared" si="494"/>
        <v>-1045.0456681157038</v>
      </c>
      <c r="H131" s="23">
        <f t="shared" si="494"/>
        <v>-1042.1256938554243</v>
      </c>
      <c r="I131" s="23">
        <f t="shared" si="494"/>
        <v>-1039.1142726074731</v>
      </c>
      <c r="J131" s="23">
        <f t="shared" si="494"/>
        <v>-1036.0102729682203</v>
      </c>
      <c r="K131" s="23">
        <f t="shared" si="494"/>
        <v>-1032.8125522289665</v>
      </c>
      <c r="L131" s="23">
        <f t="shared" si="494"/>
        <v>-1029.5199562736316</v>
      </c>
      <c r="M131" s="23">
        <f t="shared" si="494"/>
        <v>-1026.1313194755348</v>
      </c>
      <c r="N131" s="23">
        <f t="shared" si="494"/>
        <v>-1022.6454645933209</v>
      </c>
      <c r="O131" s="23">
        <f t="shared" si="494"/>
        <v>-1019.0612026659819</v>
      </c>
      <c r="P131" s="23">
        <f t="shared" si="494"/>
        <v>-1015.3773329070018</v>
      </c>
      <c r="Q131" s="23">
        <f t="shared" si="494"/>
        <v>-1011.5926425975722</v>
      </c>
      <c r="R131" s="23">
        <f t="shared" si="494"/>
        <v>-1007.7059069789211</v>
      </c>
      <c r="S131" s="23">
        <f t="shared" si="494"/>
        <v>-1003.715889143712</v>
      </c>
      <c r="T131" s="23">
        <f t="shared" si="494"/>
        <v>-999.62133992652616</v>
      </c>
      <c r="U131" s="23">
        <f t="shared" si="494"/>
        <v>-995.42099779338787</v>
      </c>
      <c r="V131" s="23">
        <f t="shared" si="494"/>
        <v>-991.11358873038625</v>
      </c>
      <c r="W131" s="23">
        <f t="shared" si="494"/>
        <v>-986.69782613132156</v>
      </c>
      <c r="X131" s="23">
        <f t="shared" si="494"/>
        <v>-982.17241068440853</v>
      </c>
      <c r="Y131" s="23">
        <f t="shared" si="494"/>
        <v>-977.53603025800112</v>
      </c>
      <c r="Z131" s="23">
        <f t="shared" si="494"/>
        <v>-972.78735978535951</v>
      </c>
      <c r="AA131" s="23">
        <f t="shared" si="494"/>
        <v>-967.92506114843945</v>
      </c>
      <c r="AB131" s="23">
        <f t="shared" si="494"/>
        <v>-962.94778306067474</v>
      </c>
      <c r="AC131" s="23">
        <f t="shared" si="494"/>
        <v>-957.8541609487902</v>
      </c>
      <c r="AD131" s="23">
        <f t="shared" si="494"/>
        <v>-952.64281683358604</v>
      </c>
      <c r="AE131" s="23">
        <f t="shared" si="494"/>
        <v>-947.31235920971994</v>
      </c>
      <c r="AF131" s="23">
        <f t="shared" si="494"/>
        <v>-941.86138292447777</v>
      </c>
      <c r="AG131" s="23">
        <f t="shared" si="494"/>
        <v>-936.28846905550927</v>
      </c>
      <c r="AH131" s="23">
        <f t="shared" si="494"/>
        <v>-930.59218478750699</v>
      </c>
      <c r="AI131" s="23">
        <f t="shared" si="494"/>
        <v>-924.77108328787381</v>
      </c>
      <c r="AJ131" s="23">
        <f t="shared" si="494"/>
        <v>-918.82370358130993</v>
      </c>
      <c r="AK131" s="23">
        <f t="shared" si="494"/>
        <v>-912.74857042334861</v>
      </c>
      <c r="AL131" s="23">
        <f t="shared" si="494"/>
        <v>-906.54419417282497</v>
      </c>
      <c r="AM131" s="23">
        <f t="shared" si="494"/>
        <v>-900.20907066323434</v>
      </c>
      <c r="AN131" s="23">
        <f t="shared" si="494"/>
        <v>-893.74168107305377</v>
      </c>
      <c r="AO131" s="23">
        <f t="shared" si="494"/>
        <v>-887.14049179492122</v>
      </c>
      <c r="AP131" s="23">
        <f t="shared" si="494"/>
        <v>-880.403954303717</v>
      </c>
      <c r="AQ131" s="23">
        <f t="shared" si="494"/>
        <v>-873.53050502354745</v>
      </c>
      <c r="AR131" s="23">
        <f t="shared" si="494"/>
        <v>-866.51856519358353</v>
      </c>
      <c r="AS131" s="23">
        <f t="shared" si="494"/>
        <v>-859.36654073277259</v>
      </c>
      <c r="AT131" s="23">
        <f t="shared" si="494"/>
        <v>-852.07282210340873</v>
      </c>
      <c r="AU131" s="23">
        <f t="shared" si="494"/>
        <v>-844.63578417354711</v>
      </c>
      <c r="AV131" s="23">
        <f t="shared" si="494"/>
        <v>-837.05378607825241</v>
      </c>
      <c r="AW131" s="23">
        <f t="shared" si="494"/>
        <v>-829.32517107968215</v>
      </c>
      <c r="AX131" s="23">
        <f t="shared" si="494"/>
        <v>-821.44826642599583</v>
      </c>
      <c r="AY131" s="23">
        <f t="shared" si="494"/>
        <v>-813.42138320905451</v>
      </c>
      <c r="AZ131" s="23">
        <f t="shared" si="494"/>
        <v>-805.2428162209244</v>
      </c>
      <c r="BA131" s="23">
        <f t="shared" si="494"/>
        <v>-796.91084380917982</v>
      </c>
      <c r="BB131" s="23">
        <f t="shared" si="494"/>
        <v>-788.42372773098759</v>
      </c>
      <c r="BC131" s="23">
        <f t="shared" si="494"/>
        <v>-779.77971300594618</v>
      </c>
      <c r="BD131" s="23">
        <f t="shared" si="494"/>
        <v>-770.97702776769165</v>
      </c>
      <c r="BE131" s="23">
        <f t="shared" si="494"/>
        <v>-762.01388311426035</v>
      </c>
      <c r="BF131" s="23">
        <f t="shared" si="494"/>
        <v>-752.88847295718551</v>
      </c>
      <c r="BG131" s="23">
        <f t="shared" si="494"/>
        <v>-743.59897386931516</v>
      </c>
      <c r="BH131" s="23">
        <f t="shared" si="494"/>
        <v>-734.14354493136398</v>
      </c>
      <c r="BI131" s="23">
        <f t="shared" si="494"/>
        <v>-724.52032757717097</v>
      </c>
      <c r="BJ131" s="23">
        <f t="shared" si="494"/>
        <v>-714.72744543763292</v>
      </c>
      <c r="BK131" s="23">
        <f t="shared" si="494"/>
        <v>-704.76300418336723</v>
      </c>
      <c r="BL131" s="23">
        <f t="shared" si="494"/>
        <v>-694.62509136600602</v>
      </c>
      <c r="BM131" s="23">
        <f t="shared" si="494"/>
        <v>-684.31177625819601</v>
      </c>
      <c r="BN131" s="23">
        <f t="shared" si="494"/>
        <v>-673.82110969222686</v>
      </c>
      <c r="BO131" s="23">
        <f t="shared" si="494"/>
        <v>-663.15112389730348</v>
      </c>
      <c r="BP131" s="23">
        <f t="shared" ref="BP131:EA131" si="495">BP129-BP121-BP122+BP127</f>
        <v>-652.29983233548592</v>
      </c>
      <c r="BQ131" s="23">
        <f t="shared" si="495"/>
        <v>-641.26522953620497</v>
      </c>
      <c r="BR131" s="23">
        <f t="shared" si="495"/>
        <v>-630.04529092941448</v>
      </c>
      <c r="BS131" s="23">
        <f t="shared" si="495"/>
        <v>-618.63797267734753</v>
      </c>
      <c r="BT131" s="23">
        <f t="shared" si="495"/>
        <v>-607.04121150484843</v>
      </c>
      <c r="BU131" s="23">
        <f t="shared" si="495"/>
        <v>-595.25292452828216</v>
      </c>
      <c r="BV131" s="23">
        <f t="shared" si="495"/>
        <v>-583.27100908302054</v>
      </c>
      <c r="BW131" s="23">
        <f t="shared" si="495"/>
        <v>-571.09334254947862</v>
      </c>
      <c r="BX131" s="23">
        <f t="shared" si="495"/>
        <v>-558.71778217767041</v>
      </c>
      <c r="BY131" s="23">
        <f t="shared" si="495"/>
        <v>-546.14216491034404</v>
      </c>
      <c r="BZ131" s="23">
        <f t="shared" si="495"/>
        <v>-533.36430720457793</v>
      </c>
      <c r="CA131" s="23">
        <f t="shared" si="495"/>
        <v>-520.38200485193101</v>
      </c>
      <c r="CB131" s="23">
        <f t="shared" si="495"/>
        <v>-507.19303279706128</v>
      </c>
      <c r="CC131" s="23">
        <f t="shared" si="495"/>
        <v>-493.79514495482817</v>
      </c>
      <c r="CD131" s="23">
        <f t="shared" si="495"/>
        <v>-480.18607402588077</v>
      </c>
      <c r="CE131" s="23">
        <f t="shared" si="495"/>
        <v>-466.36353131068063</v>
      </c>
      <c r="CF131" s="23">
        <f t="shared" si="495"/>
        <v>-452.32520652198673</v>
      </c>
      <c r="CG131" s="23">
        <f t="shared" si="495"/>
        <v>-438.06876759577972</v>
      </c>
      <c r="CH131" s="23">
        <f t="shared" si="495"/>
        <v>-423.59186050056724</v>
      </c>
      <c r="CI131" s="23">
        <f t="shared" si="495"/>
        <v>-408.89210904514857</v>
      </c>
      <c r="CJ131" s="23">
        <f t="shared" si="495"/>
        <v>-393.9671146847395</v>
      </c>
      <c r="CK131" s="23">
        <f t="shared" si="495"/>
        <v>-378.81445632548002</v>
      </c>
      <c r="CL131" s="23">
        <f t="shared" si="495"/>
        <v>-363.43169012732869</v>
      </c>
      <c r="CM131" s="23">
        <f t="shared" si="495"/>
        <v>-347.81634930529435</v>
      </c>
      <c r="CN131" s="23">
        <f t="shared" si="495"/>
        <v>-331.96594392901898</v>
      </c>
      <c r="CO131" s="23">
        <f t="shared" si="495"/>
        <v>-315.87796072067522</v>
      </c>
      <c r="CP131" s="23">
        <f t="shared" si="495"/>
        <v>-299.54986285120322</v>
      </c>
      <c r="CQ131" s="23">
        <f t="shared" si="495"/>
        <v>-282.97908973482845</v>
      </c>
      <c r="CR131" s="23">
        <f t="shared" si="495"/>
        <v>-266.16305682186612</v>
      </c>
      <c r="CS131" s="23">
        <f t="shared" si="495"/>
        <v>-249.09915538982023</v>
      </c>
      <c r="CT131" s="23">
        <f t="shared" si="495"/>
        <v>-231.78475233271729</v>
      </c>
      <c r="CU131" s="23">
        <f t="shared" si="495"/>
        <v>-214.21718994870571</v>
      </c>
      <c r="CV131" s="23">
        <f t="shared" si="495"/>
        <v>-196.39378572587248</v>
      </c>
      <c r="CW131" s="23">
        <f t="shared" si="495"/>
        <v>-178.31183212627366</v>
      </c>
      <c r="CX131" s="23">
        <f t="shared" si="495"/>
        <v>-159.96859636819863</v>
      </c>
      <c r="CY131" s="23">
        <f t="shared" si="495"/>
        <v>-141.36132020657897</v>
      </c>
      <c r="CZ131" s="23">
        <f t="shared" si="495"/>
        <v>-122.48721971161103</v>
      </c>
      <c r="DA131" s="23">
        <f t="shared" si="495"/>
        <v>-103.34348504550871</v>
      </c>
      <c r="DB131" s="23">
        <f t="shared" si="495"/>
        <v>-83.927280237414379</v>
      </c>
      <c r="DC131" s="23">
        <f t="shared" si="495"/>
        <v>-64.235742956439935</v>
      </c>
      <c r="DD131" s="23">
        <f t="shared" si="495"/>
        <v>-44.265984282817953</v>
      </c>
      <c r="DE131" s="23">
        <f t="shared" si="495"/>
        <v>-24.01508847715013</v>
      </c>
      <c r="DF131" s="23">
        <f t="shared" si="495"/>
        <v>-3.4801127477421687</v>
      </c>
      <c r="DG131" s="23">
        <f t="shared" si="495"/>
        <v>17.341912983976727</v>
      </c>
      <c r="DH131" s="23">
        <f t="shared" si="495"/>
        <v>38.453986320022523</v>
      </c>
      <c r="DI131" s="23">
        <f t="shared" si="495"/>
        <v>59.859132624347694</v>
      </c>
      <c r="DJ131" s="23">
        <f t="shared" si="495"/>
        <v>81.560405263311623</v>
      </c>
      <c r="DK131" s="23">
        <f t="shared" si="495"/>
        <v>103.56088584818826</v>
      </c>
      <c r="DL131" s="23">
        <f t="shared" si="495"/>
        <v>125.8636844796365</v>
      </c>
      <c r="DM131" s="23">
        <f t="shared" si="495"/>
        <v>148.47193999422598</v>
      </c>
      <c r="DN131" s="23">
        <f t="shared" si="495"/>
        <v>171.3888202129674</v>
      </c>
      <c r="DO131" s="23">
        <f t="shared" si="495"/>
        <v>194.61752219197297</v>
      </c>
      <c r="DP131" s="23">
        <f t="shared" si="495"/>
        <v>218.16127247512486</v>
      </c>
      <c r="DQ131" s="23">
        <f t="shared" si="495"/>
        <v>242.02332734885022</v>
      </c>
      <c r="DR131" s="23">
        <f t="shared" si="495"/>
        <v>266.20697309904608</v>
      </c>
      <c r="DS131" s="23">
        <f t="shared" si="495"/>
        <v>290.71552627006895</v>
      </c>
      <c r="DT131" s="23">
        <f t="shared" si="495"/>
        <v>315.55233392591799</v>
      </c>
      <c r="DU131" s="23">
        <f t="shared" si="495"/>
        <v>340.72077391355924</v>
      </c>
      <c r="DV131" s="23">
        <f t="shared" si="495"/>
        <v>366.22425512842165</v>
      </c>
      <c r="DW131" s="23">
        <f t="shared" si="495"/>
        <v>392.06621778208137</v>
      </c>
      <c r="DX131" s="23">
        <f t="shared" si="495"/>
        <v>418.25013367219981</v>
      </c>
      <c r="DY131" s="23">
        <f t="shared" si="495"/>
        <v>444.77950645465171</v>
      </c>
      <c r="DZ131" s="23">
        <f t="shared" si="495"/>
        <v>471.65787191790514</v>
      </c>
      <c r="EA131" s="23">
        <f t="shared" si="495"/>
        <v>498.88879825969161</v>
      </c>
      <c r="EB131" s="23">
        <f t="shared" ref="EB131:GM131" si="496">EB129-EB121-EB122+EB127</f>
        <v>526.475886365919</v>
      </c>
      <c r="EC131" s="23">
        <f t="shared" si="496"/>
        <v>554.42277009195277</v>
      </c>
      <c r="ED131" s="23">
        <f t="shared" si="496"/>
        <v>582.733116546151</v>
      </c>
      <c r="EE131" s="23">
        <f t="shared" si="496"/>
        <v>611.41062637577852</v>
      </c>
      <c r="EF131" s="23">
        <f t="shared" si="496"/>
        <v>640.45903405527861</v>
      </c>
      <c r="EG131" s="23">
        <f t="shared" si="496"/>
        <v>669.88210817687832</v>
      </c>
      <c r="EH131" s="23">
        <f t="shared" si="496"/>
        <v>699.68365174367318</v>
      </c>
      <c r="EI131" s="23">
        <f t="shared" si="496"/>
        <v>729.86750246503107</v>
      </c>
      <c r="EJ131" s="23">
        <f t="shared" si="496"/>
        <v>760.43753305452265</v>
      </c>
      <c r="EK131" s="23">
        <f t="shared" si="496"/>
        <v>791.39765153023654</v>
      </c>
      <c r="EL131" s="23">
        <f t="shared" si="496"/>
        <v>822.75180151759378</v>
      </c>
      <c r="EM131" s="23">
        <f t="shared" si="496"/>
        <v>854.5039625546724</v>
      </c>
      <c r="EN131" s="23">
        <f t="shared" si="496"/>
        <v>886.65815040001507</v>
      </c>
      <c r="EO131" s="23">
        <f t="shared" si="496"/>
        <v>919.21841734299232</v>
      </c>
      <c r="EP131" s="23">
        <f t="shared" si="496"/>
        <v>952.18885251672145</v>
      </c>
      <c r="EQ131" s="23">
        <f t="shared" si="496"/>
        <v>985.57358221353752</v>
      </c>
      <c r="ER131" s="23">
        <f t="shared" si="496"/>
        <v>1019.3767702030818</v>
      </c>
      <c r="ES131" s="23">
        <f t="shared" si="496"/>
        <v>1053.6026180530025</v>
      </c>
      <c r="ET131" s="23">
        <f t="shared" si="496"/>
        <v>1088.255365452269</v>
      </c>
      <c r="EU131" s="23">
        <f t="shared" si="496"/>
        <v>1123.3392905372075</v>
      </c>
      <c r="EV131" s="23">
        <f t="shared" si="496"/>
        <v>1158.8587102201072</v>
      </c>
      <c r="EW131" s="23">
        <f t="shared" si="496"/>
        <v>1194.81798052064</v>
      </c>
      <c r="EX131" s="23">
        <f t="shared" si="496"/>
        <v>1231.2214968999342</v>
      </c>
      <c r="EY131" s="23">
        <f t="shared" si="496"/>
        <v>1268.0736945974095</v>
      </c>
      <c r="EZ131" s="23">
        <f t="shared" si="496"/>
        <v>1305.3790489703824</v>
      </c>
      <c r="FA131" s="23">
        <f t="shared" si="496"/>
        <v>1343.1420758364493</v>
      </c>
      <c r="FB131" s="23">
        <f t="shared" si="496"/>
        <v>1381.367331818692</v>
      </c>
      <c r="FC131" s="23">
        <f t="shared" si="496"/>
        <v>1420.0594146936928</v>
      </c>
      <c r="FD131" s="23">
        <f t="shared" si="496"/>
        <v>1459.2229637424534</v>
      </c>
      <c r="FE131" s="23">
        <f t="shared" si="496"/>
        <v>1498.8626601041124</v>
      </c>
      <c r="FF131" s="23">
        <f t="shared" si="496"/>
        <v>1538.9832271326432</v>
      </c>
      <c r="FG131" s="23">
        <f t="shared" si="496"/>
        <v>1579.5894307564304</v>
      </c>
      <c r="FH131" s="23">
        <f t="shared" si="496"/>
        <v>1620.686079840787</v>
      </c>
      <c r="FI131" s="23">
        <f t="shared" si="496"/>
        <v>1662.2780265534711</v>
      </c>
      <c r="FJ131" s="23">
        <f t="shared" si="496"/>
        <v>1704.3701667332007</v>
      </c>
      <c r="FK131" s="23">
        <f t="shared" si="496"/>
        <v>1746.9674402611417</v>
      </c>
      <c r="FL131" s="23">
        <f t="shared" si="496"/>
        <v>1790.0748314354605</v>
      </c>
      <c r="FM131" s="23">
        <f t="shared" si="496"/>
        <v>1833.6973693489781</v>
      </c>
      <c r="FN131" s="23">
        <f t="shared" si="496"/>
        <v>1877.8401282698487</v>
      </c>
      <c r="FO131" s="23">
        <f t="shared" si="496"/>
        <v>1922.5082280254082</v>
      </c>
      <c r="FP131" s="23">
        <f t="shared" si="496"/>
        <v>1967.7068343891297</v>
      </c>
      <c r="FQ131" s="23">
        <f t="shared" si="496"/>
        <v>2013.4411594707726</v>
      </c>
      <c r="FR131" s="23">
        <f t="shared" si="496"/>
        <v>2059.7164621096799</v>
      </c>
      <c r="FS131" s="23">
        <f t="shared" si="496"/>
        <v>2106.5380482713263</v>
      </c>
      <c r="FT131" s="23">
        <f t="shared" si="496"/>
        <v>2153.9112714470939</v>
      </c>
      <c r="FU131" s="23">
        <f t="shared" si="496"/>
        <v>2201.8415330573225</v>
      </c>
      <c r="FV131" s="23">
        <f t="shared" si="496"/>
        <v>2250.334282857626</v>
      </c>
      <c r="FW131" s="23">
        <f t="shared" si="496"/>
        <v>2299.3950193485798</v>
      </c>
      <c r="FX131" s="23">
        <f t="shared" si="496"/>
        <v>2349.0292901886805</v>
      </c>
      <c r="FY131" s="23">
        <f t="shared" si="496"/>
        <v>2399.2426926107401</v>
      </c>
      <c r="FZ131" s="23">
        <f t="shared" si="496"/>
        <v>2450.0408738416536</v>
      </c>
      <c r="GA131" s="23">
        <f t="shared" si="496"/>
        <v>2501.4295315255949</v>
      </c>
      <c r="GB131" s="23">
        <f t="shared" si="496"/>
        <v>2553.4144141506331</v>
      </c>
      <c r="GC131" s="23">
        <f t="shared" si="496"/>
        <v>2606.0013214788905</v>
      </c>
      <c r="GD131" s="23">
        <f t="shared" si="496"/>
        <v>2659.196104980163</v>
      </c>
      <c r="GE131" s="23">
        <f t="shared" si="496"/>
        <v>2713.0046682690936</v>
      </c>
      <c r="GF131" s="23">
        <f t="shared" si="496"/>
        <v>2767.4329675458921</v>
      </c>
      <c r="GG131" s="23">
        <f t="shared" si="496"/>
        <v>2822.4870120406649</v>
      </c>
      <c r="GH131" s="23">
        <f t="shared" si="496"/>
        <v>2878.1728644613595</v>
      </c>
      <c r="GI131" s="23">
        <f t="shared" si="496"/>
        <v>2934.4966414453447</v>
      </c>
      <c r="GJ131" s="23">
        <f t="shared" si="496"/>
        <v>2991.4645140146749</v>
      </c>
      <c r="GK131" s="23">
        <f t="shared" si="496"/>
        <v>3049.0827080350991</v>
      </c>
      <c r="GL131" s="23">
        <f t="shared" si="496"/>
        <v>3107.3575046787191</v>
      </c>
      <c r="GM131" s="23">
        <f t="shared" si="496"/>
        <v>3166.2952408904894</v>
      </c>
      <c r="GN131" s="23">
        <f t="shared" ref="GN131:IY131" si="497">GN129-GN121-GN122+GN127</f>
        <v>3225.9023098585094</v>
      </c>
      <c r="GO131" s="23">
        <f t="shared" si="497"/>
        <v>3286.1851614880761</v>
      </c>
      <c r="GP131" s="23">
        <f t="shared" si="497"/>
        <v>3347.1503028796724</v>
      </c>
      <c r="GQ131" s="23">
        <f t="shared" si="497"/>
        <v>3408.8042988107954</v>
      </c>
      <c r="GR131" s="23">
        <f t="shared" si="497"/>
        <v>3471.153772221689</v>
      </c>
      <c r="GS131" s="23">
        <f t="shared" si="497"/>
        <v>3534.2054047050624</v>
      </c>
      <c r="GT131" s="23">
        <f t="shared" si="497"/>
        <v>3597.9659369997698</v>
      </c>
      <c r="GU131" s="23">
        <f t="shared" si="497"/>
        <v>3662.4421694885295</v>
      </c>
      <c r="GV131" s="23">
        <f t="shared" si="497"/>
        <v>3727.6409626996083</v>
      </c>
      <c r="GW131" s="23">
        <f t="shared" si="497"/>
        <v>3793.569237812666</v>
      </c>
      <c r="GX131" s="23">
        <f t="shared" si="497"/>
        <v>3860.2339771686547</v>
      </c>
      <c r="GY131" s="23">
        <f t="shared" si="497"/>
        <v>3927.64222478386</v>
      </c>
      <c r="GZ131" s="23">
        <f t="shared" si="497"/>
        <v>3995.8010868681795</v>
      </c>
      <c r="HA131" s="23">
        <f t="shared" si="497"/>
        <v>4064.7177323474716</v>
      </c>
      <c r="HB131" s="23">
        <f t="shared" si="497"/>
        <v>4134.3993933902912</v>
      </c>
      <c r="HC131" s="23">
        <f t="shared" si="497"/>
        <v>4204.8533659387849</v>
      </c>
      <c r="HD131" s="23">
        <f t="shared" si="497"/>
        <v>4276.087010243964</v>
      </c>
      <c r="HE131" s="23">
        <f t="shared" si="497"/>
        <v>4348.107751405274</v>
      </c>
      <c r="HF131" s="23">
        <f t="shared" si="497"/>
        <v>4420.9230799145389</v>
      </c>
      <c r="HG131" s="23">
        <f t="shared" si="497"/>
        <v>4494.5405522043384</v>
      </c>
      <c r="HH131" s="23">
        <f t="shared" si="497"/>
        <v>4568.9677912008283</v>
      </c>
      <c r="HI131" s="23">
        <f t="shared" si="497"/>
        <v>4644.2124868809769</v>
      </c>
      <c r="HJ131" s="23">
        <f t="shared" si="497"/>
        <v>4720.2823968344019</v>
      </c>
      <c r="HK131" s="23">
        <f t="shared" si="497"/>
        <v>4797.1853468296958</v>
      </c>
      <c r="HL131" s="23">
        <f t="shared" si="497"/>
        <v>4874.9292313853621</v>
      </c>
      <c r="HM131" s="23">
        <f t="shared" si="497"/>
        <v>4953.5220143453407</v>
      </c>
      <c r="HN131" s="23">
        <f t="shared" si="497"/>
        <v>5032.971729459261</v>
      </c>
      <c r="HO131" s="23">
        <f t="shared" si="497"/>
        <v>5113.286480967301</v>
      </c>
      <c r="HP131" s="23">
        <f t="shared" si="497"/>
        <v>5194.4744441898001</v>
      </c>
      <c r="HQ131" s="23">
        <f t="shared" si="497"/>
        <v>5276.543866121734</v>
      </c>
      <c r="HR131" s="23">
        <f t="shared" si="497"/>
        <v>5359.5030660318043</v>
      </c>
      <c r="HS131" s="23">
        <f t="shared" si="497"/>
        <v>5443.3604360666013</v>
      </c>
      <c r="HT131" s="23">
        <f t="shared" si="497"/>
        <v>5528.1244418594251</v>
      </c>
      <c r="HU131" s="23">
        <f t="shared" si="497"/>
        <v>5613.8036231442074</v>
      </c>
      <c r="HV131" s="23">
        <f t="shared" si="497"/>
        <v>5700.4065943742789</v>
      </c>
      <c r="HW131" s="23">
        <f t="shared" si="497"/>
        <v>5787.9420453461953</v>
      </c>
      <c r="HX131" s="23">
        <f t="shared" si="497"/>
        <v>5876.4187418285364</v>
      </c>
      <c r="HY131" s="23">
        <f t="shared" si="497"/>
        <v>5965.8455261958425</v>
      </c>
      <c r="HZ131" s="23">
        <f t="shared" si="497"/>
        <v>6056.2313180676956</v>
      </c>
      <c r="IA131" s="23">
        <f t="shared" si="497"/>
        <v>6147.5851149528116</v>
      </c>
      <c r="IB131" s="23">
        <f t="shared" si="497"/>
        <v>6239.91599289849</v>
      </c>
      <c r="IC131" s="23">
        <f t="shared" si="497"/>
        <v>6333.2331071452245</v>
      </c>
      <c r="ID131" s="23">
        <f t="shared" si="497"/>
        <v>6427.5456927866071</v>
      </c>
      <c r="IE131" s="23">
        <f t="shared" si="497"/>
        <v>6522.8630654345234</v>
      </c>
      <c r="IF131" s="23">
        <f t="shared" si="497"/>
        <v>6619.1946218897683</v>
      </c>
      <c r="IG131" s="23">
        <f t="shared" si="497"/>
        <v>6716.5498408180574</v>
      </c>
      <c r="IH131" s="23">
        <f t="shared" si="497"/>
        <v>6814.9382834313747</v>
      </c>
      <c r="II131" s="23">
        <f t="shared" si="497"/>
        <v>6914.3695941750157</v>
      </c>
      <c r="IJ131" s="23">
        <f t="shared" si="497"/>
        <v>7014.8535014199479</v>
      </c>
      <c r="IK131" s="23">
        <f t="shared" si="497"/>
        <v>7116.3998181609022</v>
      </c>
      <c r="IL131" s="23">
        <f t="shared" si="497"/>
        <v>7219.0184427200056</v>
      </c>
      <c r="IM131" s="23">
        <f t="shared" si="497"/>
        <v>7322.7193594561377</v>
      </c>
      <c r="IN131" s="23">
        <f t="shared" si="497"/>
        <v>7427.5126394799008</v>
      </c>
      <c r="IO131" s="23">
        <f t="shared" si="497"/>
        <v>7533.408441374444</v>
      </c>
      <c r="IP131" s="23">
        <f t="shared" si="497"/>
        <v>7640.4170119220362</v>
      </c>
      <c r="IQ131" s="23">
        <f t="shared" si="497"/>
        <v>7748.5486868364824</v>
      </c>
      <c r="IR131" s="23">
        <f t="shared" si="497"/>
        <v>7857.8138915014533</v>
      </c>
      <c r="IS131" s="23">
        <f t="shared" si="497"/>
        <v>7968.2231417147195</v>
      </c>
      <c r="IT131" s="23">
        <f t="shared" si="497"/>
        <v>8079.7870444383952</v>
      </c>
      <c r="IU131" s="23">
        <f t="shared" si="497"/>
        <v>8192.5162985552106</v>
      </c>
      <c r="IV131" s="23">
        <f t="shared" si="497"/>
        <v>8306.4216956308301</v>
      </c>
      <c r="IW131" s="23">
        <f t="shared" si="497"/>
        <v>8421.5141206823209</v>
      </c>
      <c r="IX131" s="23">
        <f t="shared" si="497"/>
        <v>8537.804552952839</v>
      </c>
      <c r="IY131" s="23">
        <f t="shared" si="497"/>
        <v>8655.3040666923989</v>
      </c>
      <c r="IZ131" s="23">
        <f t="shared" ref="IZ131:LK131" si="498">IZ129-IZ121-IZ122+IZ127</f>
        <v>8774.0238319450746</v>
      </c>
      <c r="JA131" s="23">
        <f t="shared" si="498"/>
        <v>8893.9751153424222</v>
      </c>
      <c r="JB131" s="23">
        <f t="shared" si="498"/>
        <v>9015.169280903292</v>
      </c>
      <c r="JC131" s="23">
        <f t="shared" si="498"/>
        <v>9137.6177908400423</v>
      </c>
      <c r="JD131" s="23">
        <f t="shared" si="498"/>
        <v>9261.3322063712731</v>
      </c>
      <c r="JE131" s="23">
        <f t="shared" si="498"/>
        <v>9386.3241885410353</v>
      </c>
      <c r="JF131" s="23">
        <f t="shared" si="498"/>
        <v>9512.6054990445919</v>
      </c>
      <c r="JG131" s="23">
        <f t="shared" si="498"/>
        <v>9640.1880010608929</v>
      </c>
      <c r="JH131" s="23">
        <f t="shared" si="498"/>
        <v>9769.0836600915718</v>
      </c>
      <c r="JI131" s="23">
        <f t="shared" si="498"/>
        <v>9899.304544806846</v>
      </c>
      <c r="JJ131" s="23">
        <f t="shared" si="498"/>
        <v>10030.862827898009</v>
      </c>
      <c r="JK131" s="23">
        <f t="shared" si="498"/>
        <v>10163.770786936928</v>
      </c>
      <c r="JL131" s="23">
        <f t="shared" si="498"/>
        <v>10298.040805242306</v>
      </c>
      <c r="JM131" s="23">
        <f t="shared" si="498"/>
        <v>10433.68537275292</v>
      </c>
      <c r="JN131" s="23">
        <f t="shared" si="498"/>
        <v>10570.717086907869</v>
      </c>
      <c r="JO131" s="23">
        <f t="shared" si="498"/>
        <v>10709.148653533821</v>
      </c>
      <c r="JP131" s="23">
        <f t="shared" si="498"/>
        <v>10848.992887739445</v>
      </c>
      <c r="JQ131" s="23">
        <f t="shared" si="498"/>
        <v>10990.262714816883</v>
      </c>
      <c r="JR131" s="23">
        <f t="shared" si="498"/>
        <v>11132.971171150548</v>
      </c>
      <c r="JS131" s="23">
        <f t="shared" si="498"/>
        <v>11277.131405133161</v>
      </c>
      <c r="JT131" s="23">
        <f t="shared" si="498"/>
        <v>11422.756678089016</v>
      </c>
      <c r="JU131" s="23">
        <f t="shared" si="498"/>
        <v>11569.8603652048</v>
      </c>
      <c r="JV131" s="23">
        <f t="shared" si="498"/>
        <v>11718.455956467727</v>
      </c>
      <c r="JW131" s="23">
        <f t="shared" si="498"/>
        <v>11868.557057611179</v>
      </c>
      <c r="JX131" s="23">
        <f t="shared" si="498"/>
        <v>12020.177391067977</v>
      </c>
      <c r="JY131" s="23">
        <f t="shared" si="498"/>
        <v>12173.330796931217</v>
      </c>
      <c r="JZ131" s="23">
        <f t="shared" si="498"/>
        <v>12328.031233922769</v>
      </c>
      <c r="KA131" s="23">
        <f t="shared" si="498"/>
        <v>12484.292780369566</v>
      </c>
      <c r="KB131" s="23">
        <f t="shared" si="498"/>
        <v>12642.12963518763</v>
      </c>
      <c r="KC131" s="23">
        <f t="shared" si="498"/>
        <v>12801.556118874016</v>
      </c>
      <c r="KD131" s="23">
        <f t="shared" si="498"/>
        <v>12962.586674506549</v>
      </c>
      <c r="KE131" s="23">
        <f t="shared" si="498"/>
        <v>13125.235868751768</v>
      </c>
      <c r="KF131" s="23">
        <f t="shared" si="498"/>
        <v>13289.518392880698</v>
      </c>
      <c r="KG131" s="23">
        <f t="shared" si="498"/>
        <v>13455.449063792812</v>
      </c>
      <c r="KH131" s="23">
        <f t="shared" si="498"/>
        <v>13623.042825048122</v>
      </c>
      <c r="KI131" s="23">
        <f t="shared" si="498"/>
        <v>13792.314747907625</v>
      </c>
      <c r="KJ131" s="23">
        <f t="shared" si="498"/>
        <v>13963.28003238187</v>
      </c>
      <c r="KK131" s="23">
        <f t="shared" si="498"/>
        <v>14135.954008287954</v>
      </c>
      <c r="KL131" s="23">
        <f t="shared" si="498"/>
        <v>14310.352136315074</v>
      </c>
      <c r="KM131" s="23">
        <f t="shared" si="498"/>
        <v>14486.490009098356</v>
      </c>
      <c r="KN131" s="23">
        <f t="shared" si="498"/>
        <v>14664.383352301356</v>
      </c>
      <c r="KO131" s="23">
        <f t="shared" si="498"/>
        <v>14844.048025707143</v>
      </c>
      <c r="KP131" s="23">
        <f t="shared" si="498"/>
        <v>15025.500024318208</v>
      </c>
      <c r="KQ131" s="23">
        <f t="shared" si="498"/>
        <v>15208.755479464846</v>
      </c>
      <c r="KR131" s="23">
        <f t="shared" si="498"/>
        <v>15393.830659922727</v>
      </c>
      <c r="KS131" s="23">
        <f t="shared" si="498"/>
        <v>15580.74197303901</v>
      </c>
      <c r="KT131" s="23">
        <f t="shared" si="498"/>
        <v>15769.50596586774</v>
      </c>
      <c r="KU131" s="23">
        <f t="shared" si="498"/>
        <v>15960.139326313947</v>
      </c>
      <c r="KV131" s="23">
        <f t="shared" si="498"/>
        <v>16152.658884287172</v>
      </c>
      <c r="KW131" s="23">
        <f t="shared" si="498"/>
        <v>16347.081612863947</v>
      </c>
      <c r="KX131" s="23">
        <f t="shared" si="498"/>
        <v>16543.424629459645</v>
      </c>
      <c r="KY131" s="23">
        <f t="shared" si="498"/>
        <v>16741.705197009567</v>
      </c>
      <c r="KZ131" s="23">
        <f t="shared" si="498"/>
        <v>16941.940725159449</v>
      </c>
      <c r="LA131" s="23">
        <f t="shared" si="498"/>
        <v>17144.148771465454</v>
      </c>
      <c r="LB131" s="23">
        <f t="shared" si="498"/>
        <v>17348.347042603666</v>
      </c>
      <c r="LC131" s="23">
        <f t="shared" si="498"/>
        <v>17554.553395589221</v>
      </c>
      <c r="LD131" s="23">
        <f t="shared" si="498"/>
        <v>17762.785839005133</v>
      </c>
      <c r="LE131" s="23">
        <f t="shared" si="498"/>
        <v>17973.062534240762</v>
      </c>
      <c r="LF131" s="23">
        <f t="shared" si="498"/>
        <v>18185.401796740371</v>
      </c>
      <c r="LG131" s="23">
        <f t="shared" si="498"/>
        <v>18399.822097261283</v>
      </c>
      <c r="LH131" s="23">
        <f t="shared" si="498"/>
        <v>18616.342063142358</v>
      </c>
      <c r="LI131" s="23">
        <f t="shared" si="498"/>
        <v>18834.980479582202</v>
      </c>
      <c r="LJ131" s="23">
        <f t="shared" si="498"/>
        <v>19055.756290927766</v>
      </c>
      <c r="LK131" s="23">
        <f t="shared" si="498"/>
        <v>19278.688601973092</v>
      </c>
      <c r="LL131" s="23">
        <f t="shared" ref="LL131:NW131" si="499">LL129-LL121-LL122+LL127</f>
        <v>19503.796679268322</v>
      </c>
      <c r="LM131" s="23">
        <f t="shared" si="499"/>
        <v>19731.099952439155</v>
      </c>
      <c r="LN131" s="23">
        <f t="shared" si="499"/>
        <v>19960.618015516713</v>
      </c>
      <c r="LO131" s="23">
        <f t="shared" si="499"/>
        <v>20192.370628278004</v>
      </c>
      <c r="LP131" s="23">
        <f t="shared" si="499"/>
        <v>20426.377717596959</v>
      </c>
      <c r="LQ131" s="23">
        <f t="shared" si="499"/>
        <v>20662.659378806202</v>
      </c>
      <c r="LR131" s="23">
        <f t="shared" si="499"/>
        <v>20901.235877069608</v>
      </c>
      <c r="LS131" s="23">
        <f t="shared" si="499"/>
        <v>21142.127648765807</v>
      </c>
      <c r="LT131" s="23">
        <f t="shared" si="499"/>
        <v>21385.355302882472</v>
      </c>
      <c r="LU131" s="23">
        <f t="shared" si="499"/>
        <v>21630.939622421818</v>
      </c>
      <c r="LV131" s="23">
        <f t="shared" si="499"/>
        <v>21878.901565817156</v>
      </c>
      <c r="LW131" s="23">
        <f t="shared" si="499"/>
        <v>22129.262268360726</v>
      </c>
      <c r="LX131" s="23">
        <f t="shared" si="499"/>
        <v>22382.043043642705</v>
      </c>
      <c r="LY131" s="23">
        <f t="shared" si="499"/>
        <v>22637.265385001763</v>
      </c>
      <c r="LZ131" s="23">
        <f t="shared" si="499"/>
        <v>22894.950966986929</v>
      </c>
      <c r="MA131" s="23">
        <f t="shared" si="499"/>
        <v>23155.121646831187</v>
      </c>
      <c r="MB131" s="23">
        <f t="shared" si="499"/>
        <v>23417.799465936652</v>
      </c>
      <c r="MC131" s="23">
        <f t="shared" si="499"/>
        <v>23683.006651371466</v>
      </c>
      <c r="MD131" s="23">
        <f t="shared" si="499"/>
        <v>23950.765617378565</v>
      </c>
      <c r="ME131" s="23">
        <f t="shared" si="499"/>
        <v>24221.09896689637</v>
      </c>
      <c r="MF131" s="23">
        <f t="shared" si="499"/>
        <v>24494.029493091548</v>
      </c>
      <c r="MG131" s="23">
        <f t="shared" si="499"/>
        <v>24769.580180903769</v>
      </c>
      <c r="MH131" s="23">
        <f t="shared" si="499"/>
        <v>25047.774208602747</v>
      </c>
      <c r="MI131" s="23">
        <f t="shared" si="499"/>
        <v>25328.634949357653</v>
      </c>
      <c r="MJ131" s="23">
        <f t="shared" si="499"/>
        <v>25612.185972818796</v>
      </c>
      <c r="MK131" s="23">
        <f t="shared" si="499"/>
        <v>25898.451046711816</v>
      </c>
      <c r="ML131" s="23">
        <f t="shared" si="499"/>
        <v>26187.454138444555</v>
      </c>
      <c r="MM131" s="23">
        <f t="shared" si="499"/>
        <v>26479.219416726537</v>
      </c>
      <c r="MN131" s="23">
        <f t="shared" si="499"/>
        <v>26773.771253201223</v>
      </c>
      <c r="MO131" s="23">
        <f t="shared" si="499"/>
        <v>27071.134224091271</v>
      </c>
      <c r="MP131" s="23">
        <f t="shared" si="499"/>
        <v>27371.333111856595</v>
      </c>
      <c r="MQ131" s="23">
        <f t="shared" si="499"/>
        <v>27674.392906865607</v>
      </c>
      <c r="MR131" s="23">
        <f t="shared" si="499"/>
        <v>27980.338809079716</v>
      </c>
      <c r="MS131" s="23">
        <f t="shared" si="499"/>
        <v>28289.196229750945</v>
      </c>
      <c r="MT131" s="23">
        <f t="shared" si="499"/>
        <v>28600.99079313306</v>
      </c>
      <c r="MU131" s="23">
        <f t="shared" si="499"/>
        <v>28915.748338206133</v>
      </c>
      <c r="MV131" s="23">
        <f t="shared" si="499"/>
        <v>29233.494920414742</v>
      </c>
      <c r="MW131" s="23">
        <f t="shared" si="499"/>
        <v>29554.25681341983</v>
      </c>
      <c r="MX131" s="23">
        <f t="shared" si="499"/>
        <v>29878.060510864401</v>
      </c>
      <c r="MY131" s="23">
        <f t="shared" si="499"/>
        <v>0</v>
      </c>
      <c r="MZ131" s="23">
        <f t="shared" si="499"/>
        <v>0</v>
      </c>
      <c r="NA131" s="23">
        <f t="shared" si="499"/>
        <v>0</v>
      </c>
      <c r="NB131" s="23">
        <f t="shared" si="499"/>
        <v>0</v>
      </c>
      <c r="NC131" s="23">
        <f t="shared" si="499"/>
        <v>0</v>
      </c>
      <c r="ND131" s="23">
        <f t="shared" si="499"/>
        <v>0</v>
      </c>
      <c r="NE131" s="23">
        <f t="shared" si="499"/>
        <v>0</v>
      </c>
      <c r="NF131" s="23">
        <f t="shared" si="499"/>
        <v>0</v>
      </c>
      <c r="NG131" s="23">
        <f t="shared" si="499"/>
        <v>0</v>
      </c>
      <c r="NH131" s="23">
        <f t="shared" si="499"/>
        <v>0</v>
      </c>
      <c r="NI131" s="23">
        <f t="shared" si="499"/>
        <v>0</v>
      </c>
      <c r="NJ131" s="23">
        <f t="shared" si="499"/>
        <v>0</v>
      </c>
      <c r="NK131" s="23">
        <f t="shared" si="499"/>
        <v>0</v>
      </c>
      <c r="NL131" s="23">
        <f t="shared" si="499"/>
        <v>0</v>
      </c>
      <c r="NM131" s="23">
        <f t="shared" si="499"/>
        <v>0</v>
      </c>
      <c r="NN131" s="23">
        <f t="shared" si="499"/>
        <v>0</v>
      </c>
      <c r="NO131" s="23">
        <f t="shared" si="499"/>
        <v>0</v>
      </c>
      <c r="NP131" s="23">
        <f t="shared" si="499"/>
        <v>0</v>
      </c>
      <c r="NQ131" s="23">
        <f t="shared" si="499"/>
        <v>0</v>
      </c>
      <c r="NR131" s="23">
        <f t="shared" si="499"/>
        <v>0</v>
      </c>
      <c r="NS131" s="23">
        <f t="shared" si="499"/>
        <v>0</v>
      </c>
      <c r="NT131" s="23">
        <f t="shared" si="499"/>
        <v>0</v>
      </c>
      <c r="NU131" s="23">
        <f t="shared" si="499"/>
        <v>0</v>
      </c>
      <c r="NV131" s="23">
        <f t="shared" si="499"/>
        <v>0</v>
      </c>
      <c r="NW131" s="23">
        <f t="shared" si="499"/>
        <v>0</v>
      </c>
      <c r="NX131" s="23">
        <f t="shared" ref="NX131:PF131" si="500">NX129-NX121-NX122+NX127</f>
        <v>0</v>
      </c>
      <c r="NY131" s="23">
        <f t="shared" si="500"/>
        <v>0</v>
      </c>
      <c r="NZ131" s="23">
        <f t="shared" si="500"/>
        <v>0</v>
      </c>
      <c r="OA131" s="23">
        <f t="shared" si="500"/>
        <v>0</v>
      </c>
      <c r="OB131" s="23">
        <f t="shared" si="500"/>
        <v>0</v>
      </c>
      <c r="OC131" s="23">
        <f t="shared" si="500"/>
        <v>0</v>
      </c>
      <c r="OD131" s="23">
        <f t="shared" si="500"/>
        <v>0</v>
      </c>
      <c r="OE131" s="23">
        <f t="shared" si="500"/>
        <v>0</v>
      </c>
      <c r="OF131" s="23">
        <f t="shared" si="500"/>
        <v>0</v>
      </c>
      <c r="OG131" s="23">
        <f t="shared" si="500"/>
        <v>0</v>
      </c>
      <c r="OH131" s="23">
        <f t="shared" si="500"/>
        <v>0</v>
      </c>
      <c r="OI131" s="23">
        <f t="shared" si="500"/>
        <v>0</v>
      </c>
      <c r="OJ131" s="23">
        <f t="shared" si="500"/>
        <v>0</v>
      </c>
      <c r="OK131" s="23">
        <f t="shared" si="500"/>
        <v>0</v>
      </c>
      <c r="OL131" s="23">
        <f t="shared" si="500"/>
        <v>0</v>
      </c>
      <c r="OM131" s="23">
        <f t="shared" si="500"/>
        <v>0</v>
      </c>
      <c r="ON131" s="23">
        <f t="shared" si="500"/>
        <v>0</v>
      </c>
      <c r="OO131" s="23">
        <f t="shared" si="500"/>
        <v>0</v>
      </c>
      <c r="OP131" s="23">
        <f t="shared" si="500"/>
        <v>0</v>
      </c>
      <c r="OQ131" s="23">
        <f t="shared" si="500"/>
        <v>0</v>
      </c>
      <c r="OR131" s="23">
        <f t="shared" si="500"/>
        <v>0</v>
      </c>
      <c r="OS131" s="23">
        <f t="shared" si="500"/>
        <v>0</v>
      </c>
      <c r="OT131" s="23">
        <f t="shared" si="500"/>
        <v>0</v>
      </c>
      <c r="OU131" s="23">
        <f t="shared" si="500"/>
        <v>0</v>
      </c>
      <c r="OV131" s="23">
        <f t="shared" si="500"/>
        <v>0</v>
      </c>
      <c r="OW131" s="23">
        <f t="shared" si="500"/>
        <v>0</v>
      </c>
      <c r="OX131" s="23">
        <f t="shared" si="500"/>
        <v>0</v>
      </c>
      <c r="OY131" s="23">
        <f t="shared" si="500"/>
        <v>0</v>
      </c>
      <c r="OZ131" s="23">
        <f t="shared" si="500"/>
        <v>0</v>
      </c>
      <c r="PA131" s="23">
        <f t="shared" si="500"/>
        <v>0</v>
      </c>
      <c r="PB131" s="23">
        <f t="shared" si="500"/>
        <v>0</v>
      </c>
      <c r="PC131" s="23">
        <f t="shared" si="500"/>
        <v>0</v>
      </c>
      <c r="PD131" s="23">
        <f t="shared" si="500"/>
        <v>0</v>
      </c>
      <c r="PE131" s="23">
        <f t="shared" si="500"/>
        <v>0</v>
      </c>
      <c r="PF131" s="23">
        <f t="shared" si="500"/>
        <v>0</v>
      </c>
    </row>
    <row r="132" spans="1:422" hidden="1">
      <c r="A132" s="7" t="s">
        <v>56</v>
      </c>
      <c r="C132" s="18">
        <f>C131</f>
        <v>-1055.833333333333</v>
      </c>
      <c r="D132" s="5">
        <f>IF(D95&lt;=$B$92, C132+D131, 0)</f>
        <v>-2109.1013888888865</v>
      </c>
      <c r="E132" s="5">
        <f t="shared" ref="E132:BO132" si="501">IF(E95&lt;=$B$92, D132+E131, 0)</f>
        <v>-3159.717134259251</v>
      </c>
      <c r="F132" s="5">
        <f>IF(F95&lt;=$B$92, E132+F131, 0)</f>
        <v>-4207.5924498475915</v>
      </c>
      <c r="G132" s="5">
        <f t="shared" si="501"/>
        <v>-5252.6381179632954</v>
      </c>
      <c r="H132" s="5">
        <f t="shared" si="501"/>
        <v>-6294.7638118187197</v>
      </c>
      <c r="I132" s="5">
        <f t="shared" si="501"/>
        <v>-7333.8780844261928</v>
      </c>
      <c r="J132" s="5">
        <f t="shared" si="501"/>
        <v>-8369.8883573944131</v>
      </c>
      <c r="K132" s="5">
        <f t="shared" si="501"/>
        <v>-9402.7009096233796</v>
      </c>
      <c r="L132" s="5">
        <f t="shared" si="501"/>
        <v>-10432.220865897012</v>
      </c>
      <c r="M132" s="5">
        <f t="shared" si="501"/>
        <v>-11458.352185372547</v>
      </c>
      <c r="N132" s="5">
        <f t="shared" si="501"/>
        <v>-12480.997649965868</v>
      </c>
      <c r="O132" s="5">
        <f t="shared" si="501"/>
        <v>-13500.05885263185</v>
      </c>
      <c r="P132" s="5">
        <f t="shared" si="501"/>
        <v>-14515.436185538852</v>
      </c>
      <c r="Q132" s="5">
        <f t="shared" si="501"/>
        <v>-15527.028828136425</v>
      </c>
      <c r="R132" s="5">
        <f t="shared" si="501"/>
        <v>-16534.734735115344</v>
      </c>
      <c r="S132" s="5">
        <f t="shared" si="501"/>
        <v>-17538.450624259058</v>
      </c>
      <c r="T132" s="5">
        <f t="shared" si="501"/>
        <v>-18538.071964185583</v>
      </c>
      <c r="U132" s="5">
        <f t="shared" si="501"/>
        <v>-19533.492961978969</v>
      </c>
      <c r="V132" s="5">
        <f t="shared" si="501"/>
        <v>-20524.606550709355</v>
      </c>
      <c r="W132" s="5">
        <f t="shared" si="501"/>
        <v>-21511.304376840679</v>
      </c>
      <c r="X132" s="5">
        <f t="shared" si="501"/>
        <v>-22493.476787525087</v>
      </c>
      <c r="Y132" s="5">
        <f t="shared" si="501"/>
        <v>-23471.012817783088</v>
      </c>
      <c r="Z132" s="5">
        <f t="shared" si="501"/>
        <v>-24443.800177568446</v>
      </c>
      <c r="AA132" s="5">
        <f t="shared" si="501"/>
        <v>-25411.725238716885</v>
      </c>
      <c r="AB132" s="5">
        <f t="shared" si="501"/>
        <v>-26374.673021777558</v>
      </c>
      <c r="AC132" s="5">
        <f t="shared" si="501"/>
        <v>-27332.52718272635</v>
      </c>
      <c r="AD132" s="5">
        <f t="shared" si="501"/>
        <v>-28285.169999559934</v>
      </c>
      <c r="AE132" s="5">
        <f t="shared" si="501"/>
        <v>-29232.482358769652</v>
      </c>
      <c r="AF132" s="5">
        <f t="shared" si="501"/>
        <v>-30174.343741694131</v>
      </c>
      <c r="AG132" s="5">
        <f t="shared" si="501"/>
        <v>-31110.632210749638</v>
      </c>
      <c r="AH132" s="5">
        <f t="shared" si="501"/>
        <v>-32041.224395537145</v>
      </c>
      <c r="AI132" s="5">
        <f t="shared" si="501"/>
        <v>-32965.995478825018</v>
      </c>
      <c r="AJ132" s="5">
        <f t="shared" si="501"/>
        <v>-33884.819182406325</v>
      </c>
      <c r="AK132" s="5">
        <f t="shared" si="501"/>
        <v>-34797.567752829673</v>
      </c>
      <c r="AL132" s="5">
        <f t="shared" si="501"/>
        <v>-35704.111947002501</v>
      </c>
      <c r="AM132" s="5">
        <f t="shared" si="501"/>
        <v>-36604.321017665738</v>
      </c>
      <c r="AN132" s="5">
        <f t="shared" si="501"/>
        <v>-37498.062698738795</v>
      </c>
      <c r="AO132" s="5">
        <f t="shared" si="501"/>
        <v>-38385.203190533713</v>
      </c>
      <c r="AP132" s="5">
        <f t="shared" si="501"/>
        <v>-39265.607144837428</v>
      </c>
      <c r="AQ132" s="5">
        <f t="shared" si="501"/>
        <v>-40139.137649860975</v>
      </c>
      <c r="AR132" s="5">
        <f t="shared" si="501"/>
        <v>-41005.656215054558</v>
      </c>
      <c r="AS132" s="5">
        <f t="shared" si="501"/>
        <v>-41865.02275578733</v>
      </c>
      <c r="AT132" s="5">
        <f t="shared" si="501"/>
        <v>-42717.095577890737</v>
      </c>
      <c r="AU132" s="5">
        <f t="shared" si="501"/>
        <v>-43561.731362064282</v>
      </c>
      <c r="AV132" s="5">
        <f t="shared" si="501"/>
        <v>-44398.785148142531</v>
      </c>
      <c r="AW132" s="5">
        <f t="shared" si="501"/>
        <v>-45228.110319222214</v>
      </c>
      <c r="AX132" s="5">
        <f t="shared" si="501"/>
        <v>-46049.558585648207</v>
      </c>
      <c r="AY132" s="5">
        <f t="shared" si="501"/>
        <v>-46862.97996885726</v>
      </c>
      <c r="AZ132" s="5">
        <f t="shared" si="501"/>
        <v>-47668.222785078186</v>
      </c>
      <c r="BA132" s="5">
        <f t="shared" si="501"/>
        <v>-48465.133628887364</v>
      </c>
      <c r="BB132" s="5">
        <f t="shared" si="501"/>
        <v>-49253.557356618352</v>
      </c>
      <c r="BC132" s="5">
        <f t="shared" si="501"/>
        <v>-50033.3370696243</v>
      </c>
      <c r="BD132" s="5">
        <f t="shared" si="501"/>
        <v>-50804.314097391994</v>
      </c>
      <c r="BE132" s="5">
        <f t="shared" si="501"/>
        <v>-51566.327980506256</v>
      </c>
      <c r="BF132" s="5">
        <f t="shared" si="501"/>
        <v>-52319.216453463443</v>
      </c>
      <c r="BG132" s="5">
        <f t="shared" si="501"/>
        <v>-53062.81542733276</v>
      </c>
      <c r="BH132" s="5">
        <f t="shared" si="501"/>
        <v>-53796.958972264125</v>
      </c>
      <c r="BI132" s="5">
        <f t="shared" si="501"/>
        <v>-54521.479299841296</v>
      </c>
      <c r="BJ132" s="5">
        <f t="shared" si="501"/>
        <v>-55236.206745278927</v>
      </c>
      <c r="BK132" s="5">
        <f t="shared" si="501"/>
        <v>-55940.969749462296</v>
      </c>
      <c r="BL132" s="5">
        <f t="shared" si="501"/>
        <v>-56635.5948408283</v>
      </c>
      <c r="BM132" s="5">
        <f t="shared" si="501"/>
        <v>-57319.906617086497</v>
      </c>
      <c r="BN132" s="5">
        <f t="shared" si="501"/>
        <v>-57993.727726778721</v>
      </c>
      <c r="BO132" s="5">
        <f t="shared" si="501"/>
        <v>-58656.878850676025</v>
      </c>
      <c r="BP132" s="5">
        <f t="shared" ref="BP132:EA132" si="502">IF(BP95&lt;=$B$92, BO132+BP131, 0)</f>
        <v>-59309.178683011509</v>
      </c>
      <c r="BQ132" s="5">
        <f t="shared" si="502"/>
        <v>-59950.443912547715</v>
      </c>
      <c r="BR132" s="5">
        <f t="shared" si="502"/>
        <v>-60580.489203477133</v>
      </c>
      <c r="BS132" s="5">
        <f t="shared" si="502"/>
        <v>-61199.127176154478</v>
      </c>
      <c r="BT132" s="5">
        <f t="shared" si="502"/>
        <v>-61806.168387659323</v>
      </c>
      <c r="BU132" s="5">
        <f t="shared" si="502"/>
        <v>-62401.421312187609</v>
      </c>
      <c r="BV132" s="5">
        <f t="shared" si="502"/>
        <v>-62984.692321270632</v>
      </c>
      <c r="BW132" s="5">
        <f t="shared" si="502"/>
        <v>-63555.785663820112</v>
      </c>
      <c r="BX132" s="5">
        <f t="shared" si="502"/>
        <v>-64114.503445997783</v>
      </c>
      <c r="BY132" s="5">
        <f t="shared" si="502"/>
        <v>-64660.645610908126</v>
      </c>
      <c r="BZ132" s="5">
        <f t="shared" si="502"/>
        <v>-65194.009918112701</v>
      </c>
      <c r="CA132" s="5">
        <f t="shared" si="502"/>
        <v>-65714.391922964627</v>
      </c>
      <c r="CB132" s="5">
        <f t="shared" si="502"/>
        <v>-66221.584955761689</v>
      </c>
      <c r="CC132" s="5">
        <f t="shared" si="502"/>
        <v>-66715.380100716517</v>
      </c>
      <c r="CD132" s="5">
        <f t="shared" si="502"/>
        <v>-67195.566174742402</v>
      </c>
      <c r="CE132" s="5">
        <f t="shared" si="502"/>
        <v>-67661.929706053081</v>
      </c>
      <c r="CF132" s="5">
        <f t="shared" si="502"/>
        <v>-68114.254912575067</v>
      </c>
      <c r="CG132" s="5">
        <f t="shared" si="502"/>
        <v>-68552.323680170841</v>
      </c>
      <c r="CH132" s="5">
        <f t="shared" si="502"/>
        <v>-68975.915540671413</v>
      </c>
      <c r="CI132" s="5">
        <f t="shared" si="502"/>
        <v>-69384.80764971656</v>
      </c>
      <c r="CJ132" s="5">
        <f t="shared" si="502"/>
        <v>-69778.7747644013</v>
      </c>
      <c r="CK132" s="5">
        <f t="shared" si="502"/>
        <v>-70157.589220726775</v>
      </c>
      <c r="CL132" s="5">
        <f t="shared" si="502"/>
        <v>-70521.020910854102</v>
      </c>
      <c r="CM132" s="5">
        <f t="shared" si="502"/>
        <v>-70868.837260159402</v>
      </c>
      <c r="CN132" s="5">
        <f t="shared" si="502"/>
        <v>-71200.803204088414</v>
      </c>
      <c r="CO132" s="5">
        <f t="shared" si="502"/>
        <v>-71516.681164809095</v>
      </c>
      <c r="CP132" s="5">
        <f t="shared" si="502"/>
        <v>-71816.231027660295</v>
      </c>
      <c r="CQ132" s="5">
        <f t="shared" si="502"/>
        <v>-72099.210117395123</v>
      </c>
      <c r="CR132" s="5">
        <f t="shared" si="502"/>
        <v>-72365.373174216991</v>
      </c>
      <c r="CS132" s="5">
        <f t="shared" si="502"/>
        <v>-72614.472329606811</v>
      </c>
      <c r="CT132" s="5">
        <f t="shared" si="502"/>
        <v>-72846.257081939533</v>
      </c>
      <c r="CU132" s="5">
        <f t="shared" si="502"/>
        <v>-73060.474271888233</v>
      </c>
      <c r="CV132" s="5">
        <f t="shared" si="502"/>
        <v>-73256.868057614105</v>
      </c>
      <c r="CW132" s="5">
        <f t="shared" si="502"/>
        <v>-73435.179889740379</v>
      </c>
      <c r="CX132" s="5">
        <f t="shared" si="502"/>
        <v>-73595.148486108577</v>
      </c>
      <c r="CY132" s="5">
        <f t="shared" si="502"/>
        <v>-73736.509806315153</v>
      </c>
      <c r="CZ132" s="5">
        <f t="shared" si="502"/>
        <v>-73858.997026026758</v>
      </c>
      <c r="DA132" s="5">
        <f t="shared" si="502"/>
        <v>-73962.340511072267</v>
      </c>
      <c r="DB132" s="5">
        <f t="shared" si="502"/>
        <v>-74046.267791309685</v>
      </c>
      <c r="DC132" s="5">
        <f t="shared" si="502"/>
        <v>-74110.503534266129</v>
      </c>
      <c r="DD132" s="5">
        <f t="shared" si="502"/>
        <v>-74154.769518548943</v>
      </c>
      <c r="DE132" s="5">
        <f t="shared" si="502"/>
        <v>-74178.784607026086</v>
      </c>
      <c r="DF132" s="5">
        <f t="shared" si="502"/>
        <v>-74182.264719773826</v>
      </c>
      <c r="DG132" s="5">
        <f t="shared" si="502"/>
        <v>-74164.922806789851</v>
      </c>
      <c r="DH132" s="5">
        <f t="shared" si="502"/>
        <v>-74126.468820469832</v>
      </c>
      <c r="DI132" s="5">
        <f t="shared" si="502"/>
        <v>-74066.609687845485</v>
      </c>
      <c r="DJ132" s="5">
        <f t="shared" si="502"/>
        <v>-73985.049282582171</v>
      </c>
      <c r="DK132" s="5">
        <f t="shared" si="502"/>
        <v>-73881.488396733985</v>
      </c>
      <c r="DL132" s="5">
        <f t="shared" si="502"/>
        <v>-73755.624712254343</v>
      </c>
      <c r="DM132" s="5">
        <f t="shared" si="502"/>
        <v>-73607.152772260117</v>
      </c>
      <c r="DN132" s="5">
        <f t="shared" si="502"/>
        <v>-73435.763952047157</v>
      </c>
      <c r="DO132" s="5">
        <f t="shared" si="502"/>
        <v>-73241.146429855187</v>
      </c>
      <c r="DP132" s="5">
        <f t="shared" si="502"/>
        <v>-73022.985157380055</v>
      </c>
      <c r="DQ132" s="5">
        <f t="shared" si="502"/>
        <v>-72780.961830031199</v>
      </c>
      <c r="DR132" s="5">
        <f t="shared" si="502"/>
        <v>-72514.754856932152</v>
      </c>
      <c r="DS132" s="5">
        <f t="shared" si="502"/>
        <v>-72224.039330662083</v>
      </c>
      <c r="DT132" s="5">
        <f t="shared" si="502"/>
        <v>-71908.486996736159</v>
      </c>
      <c r="DU132" s="5">
        <f t="shared" si="502"/>
        <v>-71567.766222822596</v>
      </c>
      <c r="DV132" s="5">
        <f t="shared" si="502"/>
        <v>-71201.541967694182</v>
      </c>
      <c r="DW132" s="5">
        <f t="shared" si="502"/>
        <v>-70809.475749912104</v>
      </c>
      <c r="DX132" s="5">
        <f t="shared" si="502"/>
        <v>-70391.225616239899</v>
      </c>
      <c r="DY132" s="5">
        <f t="shared" si="502"/>
        <v>-69946.446109785247</v>
      </c>
      <c r="DZ132" s="5">
        <f t="shared" si="502"/>
        <v>-69474.788237867338</v>
      </c>
      <c r="EA132" s="5">
        <f t="shared" si="502"/>
        <v>-68975.899439607645</v>
      </c>
      <c r="EB132" s="5">
        <f t="shared" ref="EB132:GM132" si="503">IF(EB95&lt;=$B$92, EA132+EB131, 0)</f>
        <v>-68449.423553241722</v>
      </c>
      <c r="EC132" s="5">
        <f t="shared" si="503"/>
        <v>-67895.000783149764</v>
      </c>
      <c r="ED132" s="5">
        <f t="shared" si="503"/>
        <v>-67312.267666603613</v>
      </c>
      <c r="EE132" s="5">
        <f t="shared" si="503"/>
        <v>-66700.857040227827</v>
      </c>
      <c r="EF132" s="5">
        <f t="shared" si="503"/>
        <v>-66060.398006172545</v>
      </c>
      <c r="EG132" s="5">
        <f t="shared" si="503"/>
        <v>-65390.515897995669</v>
      </c>
      <c r="EH132" s="5">
        <f t="shared" si="503"/>
        <v>-64690.832246251994</v>
      </c>
      <c r="EI132" s="5">
        <f t="shared" si="503"/>
        <v>-63960.964743786964</v>
      </c>
      <c r="EJ132" s="5">
        <f t="shared" si="503"/>
        <v>-63200.527210732442</v>
      </c>
      <c r="EK132" s="5">
        <f t="shared" si="503"/>
        <v>-62409.129559202207</v>
      </c>
      <c r="EL132" s="5">
        <f t="shared" si="503"/>
        <v>-61586.377757684611</v>
      </c>
      <c r="EM132" s="5">
        <f t="shared" si="503"/>
        <v>-60731.873795129941</v>
      </c>
      <c r="EN132" s="5">
        <f t="shared" si="503"/>
        <v>-59845.215644729928</v>
      </c>
      <c r="EO132" s="5">
        <f t="shared" si="503"/>
        <v>-58925.997227386935</v>
      </c>
      <c r="EP132" s="5">
        <f t="shared" si="503"/>
        <v>-57973.808374870212</v>
      </c>
      <c r="EQ132" s="5">
        <f t="shared" si="503"/>
        <v>-56988.234792656673</v>
      </c>
      <c r="ER132" s="5">
        <f t="shared" si="503"/>
        <v>-55968.858022453591</v>
      </c>
      <c r="ES132" s="5">
        <f t="shared" si="503"/>
        <v>-54915.255404400588</v>
      </c>
      <c r="ET132" s="5">
        <f t="shared" si="503"/>
        <v>-53827.000038948318</v>
      </c>
      <c r="EU132" s="5">
        <f t="shared" si="503"/>
        <v>-52703.660748411108</v>
      </c>
      <c r="EV132" s="5">
        <f t="shared" si="503"/>
        <v>-51544.802038191003</v>
      </c>
      <c r="EW132" s="5">
        <f t="shared" si="503"/>
        <v>-50349.984057670365</v>
      </c>
      <c r="EX132" s="5">
        <f t="shared" si="503"/>
        <v>-49118.762560770432</v>
      </c>
      <c r="EY132" s="5">
        <f t="shared" si="503"/>
        <v>-47850.688866173019</v>
      </c>
      <c r="EZ132" s="5">
        <f t="shared" si="503"/>
        <v>-46545.309817202637</v>
      </c>
      <c r="FA132" s="5">
        <f t="shared" si="503"/>
        <v>-45202.167741366189</v>
      </c>
      <c r="FB132" s="5">
        <f t="shared" si="503"/>
        <v>-43820.800409547497</v>
      </c>
      <c r="FC132" s="5">
        <f t="shared" si="503"/>
        <v>-42400.740994853804</v>
      </c>
      <c r="FD132" s="5">
        <f t="shared" si="503"/>
        <v>-40941.518031111351</v>
      </c>
      <c r="FE132" s="5">
        <f t="shared" si="503"/>
        <v>-39442.65537100724</v>
      </c>
      <c r="FF132" s="5">
        <f t="shared" si="503"/>
        <v>-37903.672143874595</v>
      </c>
      <c r="FG132" s="5">
        <f t="shared" si="503"/>
        <v>-36324.082713118165</v>
      </c>
      <c r="FH132" s="5">
        <f t="shared" si="503"/>
        <v>-34703.396633277378</v>
      </c>
      <c r="FI132" s="5">
        <f t="shared" si="503"/>
        <v>-33041.118606723903</v>
      </c>
      <c r="FJ132" s="5">
        <f t="shared" si="503"/>
        <v>-31336.748439990704</v>
      </c>
      <c r="FK132" s="5">
        <f t="shared" si="503"/>
        <v>-29589.780999729563</v>
      </c>
      <c r="FL132" s="5">
        <f t="shared" si="503"/>
        <v>-27799.706168294102</v>
      </c>
      <c r="FM132" s="5">
        <f t="shared" si="503"/>
        <v>-25966.008798945124</v>
      </c>
      <c r="FN132" s="5">
        <f t="shared" si="503"/>
        <v>-24088.168670675273</v>
      </c>
      <c r="FO132" s="5">
        <f t="shared" si="503"/>
        <v>-22165.660442649867</v>
      </c>
      <c r="FP132" s="5">
        <f t="shared" si="503"/>
        <v>-20197.953608260737</v>
      </c>
      <c r="FQ132" s="5">
        <f t="shared" si="503"/>
        <v>-18184.512448789967</v>
      </c>
      <c r="FR132" s="5">
        <f t="shared" si="503"/>
        <v>-16124.795986680287</v>
      </c>
      <c r="FS132" s="5">
        <f t="shared" si="503"/>
        <v>-14018.25793840896</v>
      </c>
      <c r="FT132" s="5">
        <f t="shared" si="503"/>
        <v>-11864.346666961867</v>
      </c>
      <c r="FU132" s="5">
        <f t="shared" si="503"/>
        <v>-9662.505133904544</v>
      </c>
      <c r="FV132" s="5">
        <f t="shared" si="503"/>
        <v>-7412.170851046918</v>
      </c>
      <c r="FW132" s="5">
        <f t="shared" si="503"/>
        <v>-5112.7758316983382</v>
      </c>
      <c r="FX132" s="5">
        <f t="shared" si="503"/>
        <v>-2763.7465415096576</v>
      </c>
      <c r="FY132" s="5">
        <f t="shared" si="503"/>
        <v>-364.50384889891757</v>
      </c>
      <c r="FZ132" s="5">
        <f t="shared" si="503"/>
        <v>2085.537024942736</v>
      </c>
      <c r="GA132" s="5">
        <f t="shared" si="503"/>
        <v>4586.966556468331</v>
      </c>
      <c r="GB132" s="5">
        <f t="shared" si="503"/>
        <v>7140.3809706189641</v>
      </c>
      <c r="GC132" s="5">
        <f t="shared" si="503"/>
        <v>9746.3822920978546</v>
      </c>
      <c r="GD132" s="5">
        <f t="shared" si="503"/>
        <v>12405.578397078018</v>
      </c>
      <c r="GE132" s="5">
        <f t="shared" si="503"/>
        <v>15118.583065347111</v>
      </c>
      <c r="GF132" s="5">
        <f t="shared" si="503"/>
        <v>17886.016032893003</v>
      </c>
      <c r="GG132" s="5">
        <f t="shared" si="503"/>
        <v>20708.50304493367</v>
      </c>
      <c r="GH132" s="5">
        <f t="shared" si="503"/>
        <v>23586.675909395031</v>
      </c>
      <c r="GI132" s="5">
        <f t="shared" si="503"/>
        <v>26521.172550840376</v>
      </c>
      <c r="GJ132" s="5">
        <f t="shared" si="503"/>
        <v>29512.637064855051</v>
      </c>
      <c r="GK132" s="5">
        <f t="shared" si="503"/>
        <v>32561.719772890152</v>
      </c>
      <c r="GL132" s="5">
        <f t="shared" si="503"/>
        <v>35669.077277568867</v>
      </c>
      <c r="GM132" s="5">
        <f t="shared" si="503"/>
        <v>38835.372518459357</v>
      </c>
      <c r="GN132" s="5">
        <f t="shared" ref="GN132:IY132" si="504">IF(GN95&lt;=$B$92, GM132+GN131, 0)</f>
        <v>42061.274828317866</v>
      </c>
      <c r="GO132" s="5">
        <f t="shared" si="504"/>
        <v>45347.459989805939</v>
      </c>
      <c r="GP132" s="5">
        <f t="shared" si="504"/>
        <v>48694.610292685611</v>
      </c>
      <c r="GQ132" s="5">
        <f t="shared" si="504"/>
        <v>52103.414591496403</v>
      </c>
      <c r="GR132" s="5">
        <f t="shared" si="504"/>
        <v>55574.568363718092</v>
      </c>
      <c r="GS132" s="5">
        <f t="shared" si="504"/>
        <v>59108.773768423154</v>
      </c>
      <c r="GT132" s="5">
        <f t="shared" si="504"/>
        <v>62706.739705422922</v>
      </c>
      <c r="GU132" s="5">
        <f t="shared" si="504"/>
        <v>66369.181874911446</v>
      </c>
      <c r="GV132" s="5">
        <f t="shared" si="504"/>
        <v>70096.822837611049</v>
      </c>
      <c r="GW132" s="5">
        <f t="shared" si="504"/>
        <v>73890.392075423719</v>
      </c>
      <c r="GX132" s="5">
        <f t="shared" si="504"/>
        <v>77750.626052592372</v>
      </c>
      <c r="GY132" s="5">
        <f t="shared" si="504"/>
        <v>81678.268277376235</v>
      </c>
      <c r="GZ132" s="5">
        <f t="shared" si="504"/>
        <v>85674.069364244409</v>
      </c>
      <c r="HA132" s="5">
        <f t="shared" si="504"/>
        <v>89738.787096591885</v>
      </c>
      <c r="HB132" s="5">
        <f t="shared" si="504"/>
        <v>93873.186489982181</v>
      </c>
      <c r="HC132" s="5">
        <f t="shared" si="504"/>
        <v>98078.039855920972</v>
      </c>
      <c r="HD132" s="5">
        <f t="shared" si="504"/>
        <v>102354.12686616494</v>
      </c>
      <c r="HE132" s="5">
        <f t="shared" si="504"/>
        <v>106702.23461757021</v>
      </c>
      <c r="HF132" s="5">
        <f t="shared" si="504"/>
        <v>111123.15769748476</v>
      </c>
      <c r="HG132" s="5">
        <f t="shared" si="504"/>
        <v>115617.6982496891</v>
      </c>
      <c r="HH132" s="5">
        <f t="shared" si="504"/>
        <v>120186.66604088993</v>
      </c>
      <c r="HI132" s="5">
        <f t="shared" si="504"/>
        <v>124830.87852777091</v>
      </c>
      <c r="HJ132" s="5">
        <f t="shared" si="504"/>
        <v>129551.16092460531</v>
      </c>
      <c r="HK132" s="5">
        <f t="shared" si="504"/>
        <v>134348.346271435</v>
      </c>
      <c r="HL132" s="5">
        <f t="shared" si="504"/>
        <v>139223.27550282035</v>
      </c>
      <c r="HM132" s="5">
        <f t="shared" si="504"/>
        <v>144176.79751716569</v>
      </c>
      <c r="HN132" s="5">
        <f t="shared" si="504"/>
        <v>149209.76924662496</v>
      </c>
      <c r="HO132" s="5">
        <f t="shared" si="504"/>
        <v>154323.05572759226</v>
      </c>
      <c r="HP132" s="5">
        <f t="shared" si="504"/>
        <v>159517.53017178207</v>
      </c>
      <c r="HQ132" s="5">
        <f t="shared" si="504"/>
        <v>164794.0740379038</v>
      </c>
      <c r="HR132" s="5">
        <f t="shared" si="504"/>
        <v>170153.57710393562</v>
      </c>
      <c r="HS132" s="5">
        <f t="shared" si="504"/>
        <v>175596.93754000223</v>
      </c>
      <c r="HT132" s="5">
        <f t="shared" si="504"/>
        <v>181125.06198186165</v>
      </c>
      <c r="HU132" s="5">
        <f t="shared" si="504"/>
        <v>186738.86560500585</v>
      </c>
      <c r="HV132" s="5">
        <f t="shared" si="504"/>
        <v>192439.27219938012</v>
      </c>
      <c r="HW132" s="5">
        <f t="shared" si="504"/>
        <v>198227.21424472632</v>
      </c>
      <c r="HX132" s="5">
        <f t="shared" si="504"/>
        <v>204103.63298655485</v>
      </c>
      <c r="HY132" s="5">
        <f t="shared" si="504"/>
        <v>210069.47851275068</v>
      </c>
      <c r="HZ132" s="5">
        <f t="shared" si="504"/>
        <v>216125.70983081838</v>
      </c>
      <c r="IA132" s="5">
        <f t="shared" si="504"/>
        <v>222273.29494577119</v>
      </c>
      <c r="IB132" s="5">
        <f t="shared" si="504"/>
        <v>228513.21093866968</v>
      </c>
      <c r="IC132" s="5">
        <f t="shared" si="504"/>
        <v>234846.44404581492</v>
      </c>
      <c r="ID132" s="5">
        <f t="shared" si="504"/>
        <v>241273.98973860152</v>
      </c>
      <c r="IE132" s="5">
        <f t="shared" si="504"/>
        <v>247796.85280403605</v>
      </c>
      <c r="IF132" s="5">
        <f t="shared" si="504"/>
        <v>254416.04742592582</v>
      </c>
      <c r="IG132" s="5">
        <f t="shared" si="504"/>
        <v>261132.59726674389</v>
      </c>
      <c r="IH132" s="5">
        <f t="shared" si="504"/>
        <v>267947.53555017529</v>
      </c>
      <c r="II132" s="5">
        <f t="shared" si="504"/>
        <v>274861.90514435031</v>
      </c>
      <c r="IJ132" s="5">
        <f t="shared" si="504"/>
        <v>281876.75864577026</v>
      </c>
      <c r="IK132" s="5">
        <f t="shared" si="504"/>
        <v>288993.15846393118</v>
      </c>
      <c r="IL132" s="5">
        <f t="shared" si="504"/>
        <v>296212.17690665118</v>
      </c>
      <c r="IM132" s="5">
        <f t="shared" si="504"/>
        <v>303534.89626610733</v>
      </c>
      <c r="IN132" s="5">
        <f t="shared" si="504"/>
        <v>310962.40890558722</v>
      </c>
      <c r="IO132" s="5">
        <f t="shared" si="504"/>
        <v>318495.81734696164</v>
      </c>
      <c r="IP132" s="5">
        <f t="shared" si="504"/>
        <v>326136.2343588837</v>
      </c>
      <c r="IQ132" s="5">
        <f t="shared" si="504"/>
        <v>333884.78304572019</v>
      </c>
      <c r="IR132" s="5">
        <f t="shared" si="504"/>
        <v>341742.59693722165</v>
      </c>
      <c r="IS132" s="5">
        <f t="shared" si="504"/>
        <v>349710.82007893635</v>
      </c>
      <c r="IT132" s="5">
        <f t="shared" si="504"/>
        <v>357790.60712337476</v>
      </c>
      <c r="IU132" s="5">
        <f t="shared" si="504"/>
        <v>365983.12342192995</v>
      </c>
      <c r="IV132" s="5">
        <f t="shared" si="504"/>
        <v>374289.54511756077</v>
      </c>
      <c r="IW132" s="5">
        <f t="shared" si="504"/>
        <v>382711.05923824309</v>
      </c>
      <c r="IX132" s="5">
        <f t="shared" si="504"/>
        <v>391248.86379119591</v>
      </c>
      <c r="IY132" s="5">
        <f t="shared" si="504"/>
        <v>399904.16785788833</v>
      </c>
      <c r="IZ132" s="5">
        <f t="shared" ref="IZ132:LK132" si="505">IF(IZ95&lt;=$B$92, IY132+IZ131, 0)</f>
        <v>408678.19168983342</v>
      </c>
      <c r="JA132" s="5">
        <f t="shared" si="505"/>
        <v>417572.16680517583</v>
      </c>
      <c r="JB132" s="5">
        <f t="shared" si="505"/>
        <v>426587.33608607913</v>
      </c>
      <c r="JC132" s="5">
        <f t="shared" si="505"/>
        <v>435724.95387691917</v>
      </c>
      <c r="JD132" s="5">
        <f t="shared" si="505"/>
        <v>444986.28608329047</v>
      </c>
      <c r="JE132" s="5">
        <f t="shared" si="505"/>
        <v>454372.61027183151</v>
      </c>
      <c r="JF132" s="5">
        <f t="shared" si="505"/>
        <v>463885.21577087609</v>
      </c>
      <c r="JG132" s="5">
        <f t="shared" si="505"/>
        <v>473525.40377193701</v>
      </c>
      <c r="JH132" s="5">
        <f t="shared" si="505"/>
        <v>483294.48743202857</v>
      </c>
      <c r="JI132" s="5">
        <f t="shared" si="505"/>
        <v>493193.7919768354</v>
      </c>
      <c r="JJ132" s="5">
        <f t="shared" si="505"/>
        <v>503224.65480473341</v>
      </c>
      <c r="JK132" s="5">
        <f t="shared" si="505"/>
        <v>513388.42559167033</v>
      </c>
      <c r="JL132" s="5">
        <f t="shared" si="505"/>
        <v>523686.46639691264</v>
      </c>
      <c r="JM132" s="5">
        <f t="shared" si="505"/>
        <v>534120.15176966554</v>
      </c>
      <c r="JN132" s="5">
        <f t="shared" si="505"/>
        <v>544690.86885657336</v>
      </c>
      <c r="JO132" s="5">
        <f t="shared" si="505"/>
        <v>555400.01751010714</v>
      </c>
      <c r="JP132" s="5">
        <f t="shared" si="505"/>
        <v>566249.01039784658</v>
      </c>
      <c r="JQ132" s="5">
        <f t="shared" si="505"/>
        <v>577239.27311266342</v>
      </c>
      <c r="JR132" s="5">
        <f t="shared" si="505"/>
        <v>588372.24428381398</v>
      </c>
      <c r="JS132" s="5">
        <f t="shared" si="505"/>
        <v>599649.37568894716</v>
      </c>
      <c r="JT132" s="5">
        <f t="shared" si="505"/>
        <v>611072.13236703619</v>
      </c>
      <c r="JU132" s="5">
        <f t="shared" si="505"/>
        <v>622641.99273224093</v>
      </c>
      <c r="JV132" s="5">
        <f t="shared" si="505"/>
        <v>634360.44868870871</v>
      </c>
      <c r="JW132" s="5">
        <f t="shared" si="505"/>
        <v>646229.00574631989</v>
      </c>
      <c r="JX132" s="5">
        <f t="shared" si="505"/>
        <v>658249.18313738785</v>
      </c>
      <c r="JY132" s="5">
        <f t="shared" si="505"/>
        <v>670422.51393431902</v>
      </c>
      <c r="JZ132" s="5">
        <f t="shared" si="505"/>
        <v>682750.54516824184</v>
      </c>
      <c r="KA132" s="5">
        <f t="shared" si="505"/>
        <v>695234.83794861136</v>
      </c>
      <c r="KB132" s="5">
        <f t="shared" si="505"/>
        <v>707876.96758379904</v>
      </c>
      <c r="KC132" s="5">
        <f t="shared" si="505"/>
        <v>720678.52370267303</v>
      </c>
      <c r="KD132" s="5">
        <f t="shared" si="505"/>
        <v>733641.11037717958</v>
      </c>
      <c r="KE132" s="5">
        <f t="shared" si="505"/>
        <v>746766.34624593135</v>
      </c>
      <c r="KF132" s="5">
        <f t="shared" si="505"/>
        <v>760055.86463881203</v>
      </c>
      <c r="KG132" s="5">
        <f t="shared" si="505"/>
        <v>773511.31370260485</v>
      </c>
      <c r="KH132" s="5">
        <f t="shared" si="505"/>
        <v>787134.35652765294</v>
      </c>
      <c r="KI132" s="5">
        <f t="shared" si="505"/>
        <v>800926.67127556051</v>
      </c>
      <c r="KJ132" s="5">
        <f t="shared" si="505"/>
        <v>814889.95130794239</v>
      </c>
      <c r="KK132" s="5">
        <f t="shared" si="505"/>
        <v>829025.90531623038</v>
      </c>
      <c r="KL132" s="5">
        <f t="shared" si="505"/>
        <v>843336.25745254545</v>
      </c>
      <c r="KM132" s="5">
        <f t="shared" si="505"/>
        <v>857822.74746164377</v>
      </c>
      <c r="KN132" s="5">
        <f t="shared" si="505"/>
        <v>872487.13081394508</v>
      </c>
      <c r="KO132" s="5">
        <f t="shared" si="505"/>
        <v>887331.17883965222</v>
      </c>
      <c r="KP132" s="5">
        <f t="shared" si="505"/>
        <v>902356.67886397045</v>
      </c>
      <c r="KQ132" s="5">
        <f t="shared" si="505"/>
        <v>917565.43434343534</v>
      </c>
      <c r="KR132" s="5">
        <f t="shared" si="505"/>
        <v>932959.26500335801</v>
      </c>
      <c r="KS132" s="5">
        <f t="shared" si="505"/>
        <v>948540.00697639701</v>
      </c>
      <c r="KT132" s="5">
        <f t="shared" si="505"/>
        <v>964309.51294226479</v>
      </c>
      <c r="KU132" s="5">
        <f t="shared" si="505"/>
        <v>980269.65226857876</v>
      </c>
      <c r="KV132" s="5">
        <f t="shared" si="505"/>
        <v>996422.31115286588</v>
      </c>
      <c r="KW132" s="5">
        <f t="shared" si="505"/>
        <v>1012769.3927657298</v>
      </c>
      <c r="KX132" s="5">
        <f t="shared" si="505"/>
        <v>1029312.8173951894</v>
      </c>
      <c r="KY132" s="5">
        <f t="shared" si="505"/>
        <v>1046054.522592199</v>
      </c>
      <c r="KZ132" s="5">
        <f t="shared" si="505"/>
        <v>1062996.4633173584</v>
      </c>
      <c r="LA132" s="5">
        <f t="shared" si="505"/>
        <v>1080140.6120888239</v>
      </c>
      <c r="LB132" s="5">
        <f t="shared" si="505"/>
        <v>1097488.9591314276</v>
      </c>
      <c r="LC132" s="5">
        <f t="shared" si="505"/>
        <v>1115043.5125270167</v>
      </c>
      <c r="LD132" s="5">
        <f t="shared" si="505"/>
        <v>1132806.2983660218</v>
      </c>
      <c r="LE132" s="5">
        <f t="shared" si="505"/>
        <v>1150779.3609002626</v>
      </c>
      <c r="LF132" s="5">
        <f t="shared" si="505"/>
        <v>1168964.7626970031</v>
      </c>
      <c r="LG132" s="5">
        <f t="shared" si="505"/>
        <v>1187364.5847942643</v>
      </c>
      <c r="LH132" s="5">
        <f t="shared" si="505"/>
        <v>1205980.9268574067</v>
      </c>
      <c r="LI132" s="5">
        <f t="shared" si="505"/>
        <v>1224815.907336989</v>
      </c>
      <c r="LJ132" s="5">
        <f t="shared" si="505"/>
        <v>1243871.6636279167</v>
      </c>
      <c r="LK132" s="5">
        <f t="shared" si="505"/>
        <v>1263150.3522298897</v>
      </c>
      <c r="LL132" s="5">
        <f t="shared" ref="LL132:NW132" si="506">IF(LL95&lt;=$B$92, LK132+LL131, 0)</f>
        <v>1282654.1489091581</v>
      </c>
      <c r="LM132" s="5">
        <f t="shared" si="506"/>
        <v>1302385.2488615972</v>
      </c>
      <c r="LN132" s="5">
        <f t="shared" si="506"/>
        <v>1322345.8668771139</v>
      </c>
      <c r="LO132" s="5">
        <f t="shared" si="506"/>
        <v>1342538.2375053919</v>
      </c>
      <c r="LP132" s="5">
        <f t="shared" si="506"/>
        <v>1362964.6152229889</v>
      </c>
      <c r="LQ132" s="5">
        <f t="shared" si="506"/>
        <v>1383627.274601795</v>
      </c>
      <c r="LR132" s="5">
        <f t="shared" si="506"/>
        <v>1404528.5104788647</v>
      </c>
      <c r="LS132" s="5">
        <f t="shared" si="506"/>
        <v>1425670.6381276306</v>
      </c>
      <c r="LT132" s="5">
        <f t="shared" si="506"/>
        <v>1447055.993430513</v>
      </c>
      <c r="LU132" s="5">
        <f t="shared" si="506"/>
        <v>1468686.9330529347</v>
      </c>
      <c r="LV132" s="5">
        <f t="shared" si="506"/>
        <v>1490565.8346187519</v>
      </c>
      <c r="LW132" s="5">
        <f t="shared" si="506"/>
        <v>1512695.0968871126</v>
      </c>
      <c r="LX132" s="5">
        <f t="shared" si="506"/>
        <v>1535077.1399307554</v>
      </c>
      <c r="LY132" s="5">
        <f t="shared" si="506"/>
        <v>1557714.405315757</v>
      </c>
      <c r="LZ132" s="5">
        <f t="shared" si="506"/>
        <v>1580609.3562827439</v>
      </c>
      <c r="MA132" s="5">
        <f t="shared" si="506"/>
        <v>1603764.4779295751</v>
      </c>
      <c r="MB132" s="5">
        <f t="shared" si="506"/>
        <v>1627182.2773955117</v>
      </c>
      <c r="MC132" s="5">
        <f t="shared" si="506"/>
        <v>1650865.2840468832</v>
      </c>
      <c r="MD132" s="5">
        <f t="shared" si="506"/>
        <v>1674816.0496642618</v>
      </c>
      <c r="ME132" s="5">
        <f t="shared" si="506"/>
        <v>1699037.1486311581</v>
      </c>
      <c r="MF132" s="5">
        <f t="shared" si="506"/>
        <v>1723531.1781242497</v>
      </c>
      <c r="MG132" s="5">
        <f t="shared" si="506"/>
        <v>1748300.7583051533</v>
      </c>
      <c r="MH132" s="5">
        <f t="shared" si="506"/>
        <v>1773348.5325137561</v>
      </c>
      <c r="MI132" s="5">
        <f t="shared" si="506"/>
        <v>1798677.1674631138</v>
      </c>
      <c r="MJ132" s="5">
        <f t="shared" si="506"/>
        <v>1824289.3534359327</v>
      </c>
      <c r="MK132" s="5">
        <f t="shared" si="506"/>
        <v>1850187.8044826444</v>
      </c>
      <c r="ML132" s="5">
        <f t="shared" si="506"/>
        <v>1876375.2586210889</v>
      </c>
      <c r="MM132" s="5">
        <f t="shared" si="506"/>
        <v>1902854.4780378155</v>
      </c>
      <c r="MN132" s="5">
        <f t="shared" si="506"/>
        <v>1929628.2492910167</v>
      </c>
      <c r="MO132" s="5">
        <f t="shared" si="506"/>
        <v>1956699.3835151079</v>
      </c>
      <c r="MP132" s="5">
        <f t="shared" si="506"/>
        <v>1984070.7166269645</v>
      </c>
      <c r="MQ132" s="5">
        <f t="shared" si="506"/>
        <v>2011745.1095338301</v>
      </c>
      <c r="MR132" s="5">
        <f t="shared" si="506"/>
        <v>2039725.4483429098</v>
      </c>
      <c r="MS132" s="5">
        <f t="shared" si="506"/>
        <v>2068014.6445726608</v>
      </c>
      <c r="MT132" s="5">
        <f t="shared" si="506"/>
        <v>2096615.6353657939</v>
      </c>
      <c r="MU132" s="5">
        <f t="shared" si="506"/>
        <v>2125531.3837040002</v>
      </c>
      <c r="MV132" s="5">
        <f t="shared" si="506"/>
        <v>2154764.878624415</v>
      </c>
      <c r="MW132" s="5">
        <f t="shared" si="506"/>
        <v>2184319.135437835</v>
      </c>
      <c r="MX132" s="5">
        <f t="shared" si="506"/>
        <v>2214197.1959486995</v>
      </c>
      <c r="MY132" s="5">
        <f t="shared" si="506"/>
        <v>0</v>
      </c>
      <c r="MZ132" s="5">
        <f t="shared" si="506"/>
        <v>0</v>
      </c>
      <c r="NA132" s="5">
        <f t="shared" si="506"/>
        <v>0</v>
      </c>
      <c r="NB132" s="5">
        <f t="shared" si="506"/>
        <v>0</v>
      </c>
      <c r="NC132" s="5">
        <f t="shared" si="506"/>
        <v>0</v>
      </c>
      <c r="ND132" s="5">
        <f t="shared" si="506"/>
        <v>0</v>
      </c>
      <c r="NE132" s="5">
        <f t="shared" si="506"/>
        <v>0</v>
      </c>
      <c r="NF132" s="5">
        <f t="shared" si="506"/>
        <v>0</v>
      </c>
      <c r="NG132" s="5">
        <f t="shared" si="506"/>
        <v>0</v>
      </c>
      <c r="NH132" s="5">
        <f t="shared" si="506"/>
        <v>0</v>
      </c>
      <c r="NI132" s="5">
        <f t="shared" si="506"/>
        <v>0</v>
      </c>
      <c r="NJ132" s="5">
        <f t="shared" si="506"/>
        <v>0</v>
      </c>
      <c r="NK132" s="5">
        <f t="shared" si="506"/>
        <v>0</v>
      </c>
      <c r="NL132" s="5">
        <f t="shared" si="506"/>
        <v>0</v>
      </c>
      <c r="NM132" s="5">
        <f t="shared" si="506"/>
        <v>0</v>
      </c>
      <c r="NN132" s="5">
        <f t="shared" si="506"/>
        <v>0</v>
      </c>
      <c r="NO132" s="5">
        <f t="shared" si="506"/>
        <v>0</v>
      </c>
      <c r="NP132" s="5">
        <f t="shared" si="506"/>
        <v>0</v>
      </c>
      <c r="NQ132" s="5">
        <f t="shared" si="506"/>
        <v>0</v>
      </c>
      <c r="NR132" s="5">
        <f t="shared" si="506"/>
        <v>0</v>
      </c>
      <c r="NS132" s="5">
        <f t="shared" si="506"/>
        <v>0</v>
      </c>
      <c r="NT132" s="5">
        <f t="shared" si="506"/>
        <v>0</v>
      </c>
      <c r="NU132" s="5">
        <f t="shared" si="506"/>
        <v>0</v>
      </c>
      <c r="NV132" s="5">
        <f t="shared" si="506"/>
        <v>0</v>
      </c>
      <c r="NW132" s="5">
        <f t="shared" si="506"/>
        <v>0</v>
      </c>
      <c r="NX132" s="5">
        <f t="shared" ref="NX132:PF132" si="507">IF(NX95&lt;=$B$92, NW132+NX131, 0)</f>
        <v>0</v>
      </c>
      <c r="NY132" s="5">
        <f t="shared" si="507"/>
        <v>0</v>
      </c>
      <c r="NZ132" s="5">
        <f t="shared" si="507"/>
        <v>0</v>
      </c>
      <c r="OA132" s="5">
        <f t="shared" si="507"/>
        <v>0</v>
      </c>
      <c r="OB132" s="5">
        <f t="shared" si="507"/>
        <v>0</v>
      </c>
      <c r="OC132" s="5">
        <f t="shared" si="507"/>
        <v>0</v>
      </c>
      <c r="OD132" s="5">
        <f t="shared" si="507"/>
        <v>0</v>
      </c>
      <c r="OE132" s="5">
        <f t="shared" si="507"/>
        <v>0</v>
      </c>
      <c r="OF132" s="5">
        <f t="shared" si="507"/>
        <v>0</v>
      </c>
      <c r="OG132" s="5">
        <f t="shared" si="507"/>
        <v>0</v>
      </c>
      <c r="OH132" s="5">
        <f t="shared" si="507"/>
        <v>0</v>
      </c>
      <c r="OI132" s="5">
        <f t="shared" si="507"/>
        <v>0</v>
      </c>
      <c r="OJ132" s="5">
        <f t="shared" si="507"/>
        <v>0</v>
      </c>
      <c r="OK132" s="5">
        <f t="shared" si="507"/>
        <v>0</v>
      </c>
      <c r="OL132" s="5">
        <f t="shared" si="507"/>
        <v>0</v>
      </c>
      <c r="OM132" s="5">
        <f t="shared" si="507"/>
        <v>0</v>
      </c>
      <c r="ON132" s="5">
        <f t="shared" si="507"/>
        <v>0</v>
      </c>
      <c r="OO132" s="5">
        <f t="shared" si="507"/>
        <v>0</v>
      </c>
      <c r="OP132" s="5">
        <f t="shared" si="507"/>
        <v>0</v>
      </c>
      <c r="OQ132" s="5">
        <f t="shared" si="507"/>
        <v>0</v>
      </c>
      <c r="OR132" s="5">
        <f t="shared" si="507"/>
        <v>0</v>
      </c>
      <c r="OS132" s="5">
        <f t="shared" si="507"/>
        <v>0</v>
      </c>
      <c r="OT132" s="5">
        <f t="shared" si="507"/>
        <v>0</v>
      </c>
      <c r="OU132" s="5">
        <f t="shared" si="507"/>
        <v>0</v>
      </c>
      <c r="OV132" s="5">
        <f t="shared" si="507"/>
        <v>0</v>
      </c>
      <c r="OW132" s="5">
        <f t="shared" si="507"/>
        <v>0</v>
      </c>
      <c r="OX132" s="5">
        <f t="shared" si="507"/>
        <v>0</v>
      </c>
      <c r="OY132" s="5">
        <f t="shared" si="507"/>
        <v>0</v>
      </c>
      <c r="OZ132" s="5">
        <f t="shared" si="507"/>
        <v>0</v>
      </c>
      <c r="PA132" s="5">
        <f t="shared" si="507"/>
        <v>0</v>
      </c>
      <c r="PB132" s="5">
        <f t="shared" si="507"/>
        <v>0</v>
      </c>
      <c r="PC132" s="5">
        <f t="shared" si="507"/>
        <v>0</v>
      </c>
      <c r="PD132" s="5">
        <f t="shared" si="507"/>
        <v>0</v>
      </c>
      <c r="PE132" s="5">
        <f t="shared" si="507"/>
        <v>0</v>
      </c>
      <c r="PF132" s="5">
        <f t="shared" si="507"/>
        <v>0</v>
      </c>
    </row>
    <row r="133" spans="1:422" hidden="1">
      <c r="C133" s="18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</row>
    <row r="134" spans="1:422" s="11" customFormat="1" ht="30" hidden="1">
      <c r="A134" s="13" t="s">
        <v>57</v>
      </c>
      <c r="B134" s="10">
        <f>B23</f>
        <v>2000000</v>
      </c>
      <c r="C134" s="19">
        <f t="shared" ref="C134:BN134" si="508">IF(C95&lt;=$B$92, $B$134+C132, 0)</f>
        <v>1998944.1666666667</v>
      </c>
      <c r="D134" s="10">
        <f t="shared" si="508"/>
        <v>1997890.8986111111</v>
      </c>
      <c r="E134" s="10">
        <f t="shared" si="508"/>
        <v>1996840.2828657408</v>
      </c>
      <c r="F134" s="10">
        <f t="shared" si="508"/>
        <v>1995792.4075501524</v>
      </c>
      <c r="G134" s="10">
        <f t="shared" si="508"/>
        <v>1994747.3618820368</v>
      </c>
      <c r="H134" s="10">
        <f t="shared" si="508"/>
        <v>1993705.2361881812</v>
      </c>
      <c r="I134" s="10">
        <f t="shared" si="508"/>
        <v>1992666.1219155737</v>
      </c>
      <c r="J134" s="10">
        <f t="shared" si="508"/>
        <v>1991630.1116426056</v>
      </c>
      <c r="K134" s="10">
        <f t="shared" si="508"/>
        <v>1990597.2990903766</v>
      </c>
      <c r="L134" s="10">
        <f t="shared" si="508"/>
        <v>1989567.7791341031</v>
      </c>
      <c r="M134" s="10">
        <f t="shared" si="508"/>
        <v>1988541.6478146275</v>
      </c>
      <c r="N134" s="10">
        <f t="shared" si="508"/>
        <v>1987519.0023500342</v>
      </c>
      <c r="O134" s="10">
        <f t="shared" si="508"/>
        <v>1986499.9411473682</v>
      </c>
      <c r="P134" s="10">
        <f t="shared" si="508"/>
        <v>1985484.5638144612</v>
      </c>
      <c r="Q134" s="10">
        <f t="shared" si="508"/>
        <v>1984472.9711718636</v>
      </c>
      <c r="R134" s="10">
        <f t="shared" si="508"/>
        <v>1983465.2652648846</v>
      </c>
      <c r="S134" s="10">
        <f t="shared" si="508"/>
        <v>1982461.549375741</v>
      </c>
      <c r="T134" s="10">
        <f t="shared" si="508"/>
        <v>1981461.9280358143</v>
      </c>
      <c r="U134" s="10">
        <f t="shared" si="508"/>
        <v>1980466.507038021</v>
      </c>
      <c r="V134" s="10">
        <f t="shared" si="508"/>
        <v>1979475.3934492907</v>
      </c>
      <c r="W134" s="10">
        <f t="shared" si="508"/>
        <v>1978488.6956231594</v>
      </c>
      <c r="X134" s="10">
        <f t="shared" si="508"/>
        <v>1977506.523212475</v>
      </c>
      <c r="Y134" s="10">
        <f t="shared" si="508"/>
        <v>1976528.987182217</v>
      </c>
      <c r="Z134" s="10">
        <f t="shared" si="508"/>
        <v>1975556.1998224317</v>
      </c>
      <c r="AA134" s="10">
        <f t="shared" si="508"/>
        <v>1974588.2747612831</v>
      </c>
      <c r="AB134" s="10">
        <f t="shared" si="508"/>
        <v>1973625.3269782225</v>
      </c>
      <c r="AC134" s="10">
        <f t="shared" si="508"/>
        <v>1972667.4728172736</v>
      </c>
      <c r="AD134" s="10">
        <f t="shared" si="508"/>
        <v>1971714.8300004401</v>
      </c>
      <c r="AE134" s="10">
        <f t="shared" si="508"/>
        <v>1970767.5176412303</v>
      </c>
      <c r="AF134" s="10">
        <f t="shared" si="508"/>
        <v>1969825.6562583058</v>
      </c>
      <c r="AG134" s="10">
        <f t="shared" si="508"/>
        <v>1968889.3677892503</v>
      </c>
      <c r="AH134" s="10">
        <f t="shared" si="508"/>
        <v>1967958.7756044629</v>
      </c>
      <c r="AI134" s="10">
        <f t="shared" si="508"/>
        <v>1967034.0045211751</v>
      </c>
      <c r="AJ134" s="10">
        <f t="shared" si="508"/>
        <v>1966115.1808175936</v>
      </c>
      <c r="AK134" s="10">
        <f t="shared" si="508"/>
        <v>1965202.4322471702</v>
      </c>
      <c r="AL134" s="10">
        <f t="shared" si="508"/>
        <v>1964295.8880529974</v>
      </c>
      <c r="AM134" s="10">
        <f t="shared" si="508"/>
        <v>1963395.6789823342</v>
      </c>
      <c r="AN134" s="10">
        <f t="shared" si="508"/>
        <v>1962501.9373012611</v>
      </c>
      <c r="AO134" s="10">
        <f t="shared" si="508"/>
        <v>1961614.7968094663</v>
      </c>
      <c r="AP134" s="10">
        <f t="shared" si="508"/>
        <v>1960734.3928551625</v>
      </c>
      <c r="AQ134" s="10">
        <f t="shared" si="508"/>
        <v>1959860.8623501391</v>
      </c>
      <c r="AR134" s="10">
        <f t="shared" si="508"/>
        <v>1958994.3437849456</v>
      </c>
      <c r="AS134" s="10">
        <f t="shared" si="508"/>
        <v>1958134.9772442128</v>
      </c>
      <c r="AT134" s="10">
        <f t="shared" si="508"/>
        <v>1957282.9044221092</v>
      </c>
      <c r="AU134" s="10">
        <f t="shared" si="508"/>
        <v>1956438.2686379356</v>
      </c>
      <c r="AV134" s="10">
        <f t="shared" si="508"/>
        <v>1955601.2148518574</v>
      </c>
      <c r="AW134" s="10">
        <f t="shared" si="508"/>
        <v>1954771.8896807777</v>
      </c>
      <c r="AX134" s="10">
        <f t="shared" si="508"/>
        <v>1953950.4414143518</v>
      </c>
      <c r="AY134" s="10">
        <f t="shared" si="508"/>
        <v>1953137.0200311427</v>
      </c>
      <c r="AZ134" s="10">
        <f t="shared" si="508"/>
        <v>1952331.7772149218</v>
      </c>
      <c r="BA134" s="10">
        <f t="shared" si="508"/>
        <v>1951534.8663711126</v>
      </c>
      <c r="BB134" s="10">
        <f t="shared" si="508"/>
        <v>1950746.4426433817</v>
      </c>
      <c r="BC134" s="10">
        <f t="shared" si="508"/>
        <v>1949966.6629303757</v>
      </c>
      <c r="BD134" s="10">
        <f t="shared" si="508"/>
        <v>1949195.6859026081</v>
      </c>
      <c r="BE134" s="10">
        <f t="shared" si="508"/>
        <v>1948433.6720194938</v>
      </c>
      <c r="BF134" s="10">
        <f t="shared" si="508"/>
        <v>1947680.7835465365</v>
      </c>
      <c r="BG134" s="10">
        <f t="shared" si="508"/>
        <v>1946937.1845726673</v>
      </c>
      <c r="BH134" s="10">
        <f t="shared" si="508"/>
        <v>1946203.0410277359</v>
      </c>
      <c r="BI134" s="10">
        <f t="shared" si="508"/>
        <v>1945478.5207001588</v>
      </c>
      <c r="BJ134" s="10">
        <f t="shared" si="508"/>
        <v>1944763.793254721</v>
      </c>
      <c r="BK134" s="10">
        <f t="shared" si="508"/>
        <v>1944059.0302505377</v>
      </c>
      <c r="BL134" s="10">
        <f t="shared" si="508"/>
        <v>1943364.4051591717</v>
      </c>
      <c r="BM134" s="10">
        <f t="shared" si="508"/>
        <v>1942680.0933829136</v>
      </c>
      <c r="BN134" s="10">
        <f t="shared" si="508"/>
        <v>1942006.2722732213</v>
      </c>
      <c r="BO134" s="10">
        <f t="shared" ref="BO134:DZ134" si="509">IF(BO95&lt;=$B$92, $B$134+BO132, 0)</f>
        <v>1941343.1211493239</v>
      </c>
      <c r="BP134" s="10">
        <f t="shared" si="509"/>
        <v>1940690.8213169884</v>
      </c>
      <c r="BQ134" s="10">
        <f t="shared" si="509"/>
        <v>1940049.5560874522</v>
      </c>
      <c r="BR134" s="10">
        <f t="shared" si="509"/>
        <v>1939419.510796523</v>
      </c>
      <c r="BS134" s="10">
        <f t="shared" si="509"/>
        <v>1938800.8728238456</v>
      </c>
      <c r="BT134" s="10">
        <f t="shared" si="509"/>
        <v>1938193.8316123406</v>
      </c>
      <c r="BU134" s="10">
        <f t="shared" si="509"/>
        <v>1937598.5786878124</v>
      </c>
      <c r="BV134" s="10">
        <f t="shared" si="509"/>
        <v>1937015.3076787293</v>
      </c>
      <c r="BW134" s="10">
        <f t="shared" si="509"/>
        <v>1936444.2143361799</v>
      </c>
      <c r="BX134" s="10">
        <f t="shared" si="509"/>
        <v>1935885.4965540022</v>
      </c>
      <c r="BY134" s="10">
        <f t="shared" si="509"/>
        <v>1935339.354389092</v>
      </c>
      <c r="BZ134" s="10">
        <f t="shared" si="509"/>
        <v>1934805.9900818872</v>
      </c>
      <c r="CA134" s="10">
        <f t="shared" si="509"/>
        <v>1934285.6080770353</v>
      </c>
      <c r="CB134" s="10">
        <f t="shared" si="509"/>
        <v>1933778.4150442383</v>
      </c>
      <c r="CC134" s="10">
        <f t="shared" si="509"/>
        <v>1933284.6198992834</v>
      </c>
      <c r="CD134" s="10">
        <f t="shared" si="509"/>
        <v>1932804.4338252577</v>
      </c>
      <c r="CE134" s="10">
        <f t="shared" si="509"/>
        <v>1932338.0702939469</v>
      </c>
      <c r="CF134" s="10">
        <f t="shared" si="509"/>
        <v>1931885.745087425</v>
      </c>
      <c r="CG134" s="10">
        <f t="shared" si="509"/>
        <v>1931447.6763198292</v>
      </c>
      <c r="CH134" s="10">
        <f t="shared" si="509"/>
        <v>1931024.0844593286</v>
      </c>
      <c r="CI134" s="10">
        <f t="shared" si="509"/>
        <v>1930615.1923502835</v>
      </c>
      <c r="CJ134" s="10">
        <f t="shared" si="509"/>
        <v>1930221.2252355986</v>
      </c>
      <c r="CK134" s="10">
        <f t="shared" si="509"/>
        <v>1929842.4107792731</v>
      </c>
      <c r="CL134" s="10">
        <f t="shared" si="509"/>
        <v>1929478.979089146</v>
      </c>
      <c r="CM134" s="10">
        <f t="shared" si="509"/>
        <v>1929131.1627398406</v>
      </c>
      <c r="CN134" s="10">
        <f t="shared" si="509"/>
        <v>1928799.1967959115</v>
      </c>
      <c r="CO134" s="10">
        <f t="shared" si="509"/>
        <v>1928483.318835191</v>
      </c>
      <c r="CP134" s="10">
        <f t="shared" si="509"/>
        <v>1928183.7689723398</v>
      </c>
      <c r="CQ134" s="10">
        <f t="shared" si="509"/>
        <v>1927900.789882605</v>
      </c>
      <c r="CR134" s="10">
        <f t="shared" si="509"/>
        <v>1927634.6268257829</v>
      </c>
      <c r="CS134" s="10">
        <f t="shared" si="509"/>
        <v>1927385.5276703932</v>
      </c>
      <c r="CT134" s="10">
        <f t="shared" si="509"/>
        <v>1927153.7429180604</v>
      </c>
      <c r="CU134" s="10">
        <f t="shared" si="509"/>
        <v>1926939.5257281119</v>
      </c>
      <c r="CV134" s="10">
        <f t="shared" si="509"/>
        <v>1926743.1319423858</v>
      </c>
      <c r="CW134" s="10">
        <f t="shared" si="509"/>
        <v>1926564.8201102596</v>
      </c>
      <c r="CX134" s="10">
        <f t="shared" si="509"/>
        <v>1926404.8515138915</v>
      </c>
      <c r="CY134" s="10">
        <f t="shared" si="509"/>
        <v>1926263.4901936848</v>
      </c>
      <c r="CZ134" s="10">
        <f t="shared" si="509"/>
        <v>1926141.0029739733</v>
      </c>
      <c r="DA134" s="10">
        <f t="shared" si="509"/>
        <v>1926037.6594889278</v>
      </c>
      <c r="DB134" s="10">
        <f t="shared" si="509"/>
        <v>1925953.7322086904</v>
      </c>
      <c r="DC134" s="10">
        <f t="shared" si="509"/>
        <v>1925889.496465734</v>
      </c>
      <c r="DD134" s="10">
        <f t="shared" si="509"/>
        <v>1925845.2304814511</v>
      </c>
      <c r="DE134" s="10">
        <f t="shared" si="509"/>
        <v>1925821.215392974</v>
      </c>
      <c r="DF134" s="10">
        <f t="shared" si="509"/>
        <v>1925817.7352802262</v>
      </c>
      <c r="DG134" s="10">
        <f t="shared" si="509"/>
        <v>1925835.0771932101</v>
      </c>
      <c r="DH134" s="10">
        <f t="shared" si="509"/>
        <v>1925873.5311795301</v>
      </c>
      <c r="DI134" s="10">
        <f t="shared" si="509"/>
        <v>1925933.3903121545</v>
      </c>
      <c r="DJ134" s="10">
        <f t="shared" si="509"/>
        <v>1926014.9507174178</v>
      </c>
      <c r="DK134" s="10">
        <f t="shared" si="509"/>
        <v>1926118.511603266</v>
      </c>
      <c r="DL134" s="10">
        <f t="shared" si="509"/>
        <v>1926244.3752877456</v>
      </c>
      <c r="DM134" s="10">
        <f t="shared" si="509"/>
        <v>1926392.8472277399</v>
      </c>
      <c r="DN134" s="10">
        <f t="shared" si="509"/>
        <v>1926564.2360479529</v>
      </c>
      <c r="DO134" s="10">
        <f t="shared" si="509"/>
        <v>1926758.8535701449</v>
      </c>
      <c r="DP134" s="10">
        <f t="shared" si="509"/>
        <v>1926977.0148426199</v>
      </c>
      <c r="DQ134" s="10">
        <f t="shared" si="509"/>
        <v>1927219.0381699689</v>
      </c>
      <c r="DR134" s="10">
        <f t="shared" si="509"/>
        <v>1927485.2451430678</v>
      </c>
      <c r="DS134" s="10">
        <f t="shared" si="509"/>
        <v>1927775.960669338</v>
      </c>
      <c r="DT134" s="10">
        <f t="shared" si="509"/>
        <v>1928091.5130032639</v>
      </c>
      <c r="DU134" s="10">
        <f t="shared" si="509"/>
        <v>1928432.2337771775</v>
      </c>
      <c r="DV134" s="10">
        <f t="shared" si="509"/>
        <v>1928798.4580323058</v>
      </c>
      <c r="DW134" s="10">
        <f t="shared" si="509"/>
        <v>1929190.5242500878</v>
      </c>
      <c r="DX134" s="10">
        <f t="shared" si="509"/>
        <v>1929608.7743837601</v>
      </c>
      <c r="DY134" s="10">
        <f t="shared" si="509"/>
        <v>1930053.5538902148</v>
      </c>
      <c r="DZ134" s="10">
        <f t="shared" si="509"/>
        <v>1930525.2117621326</v>
      </c>
      <c r="EA134" s="10">
        <f t="shared" ref="EA134:GL134" si="510">IF(EA95&lt;=$B$92, $B$134+EA132, 0)</f>
        <v>1931024.1005603923</v>
      </c>
      <c r="EB134" s="10">
        <f t="shared" si="510"/>
        <v>1931550.5764467584</v>
      </c>
      <c r="EC134" s="10">
        <f t="shared" si="510"/>
        <v>1932104.9992168501</v>
      </c>
      <c r="ED134" s="10">
        <f t="shared" si="510"/>
        <v>1932687.7323333963</v>
      </c>
      <c r="EE134" s="10">
        <f t="shared" si="510"/>
        <v>1933299.1429597721</v>
      </c>
      <c r="EF134" s="10">
        <f t="shared" si="510"/>
        <v>1933939.6019938274</v>
      </c>
      <c r="EG134" s="10">
        <f t="shared" si="510"/>
        <v>1934609.4841020044</v>
      </c>
      <c r="EH134" s="10">
        <f t="shared" si="510"/>
        <v>1935309.1677537479</v>
      </c>
      <c r="EI134" s="10">
        <f t="shared" si="510"/>
        <v>1936039.035256213</v>
      </c>
      <c r="EJ134" s="10">
        <f t="shared" si="510"/>
        <v>1936799.4727892675</v>
      </c>
      <c r="EK134" s="10">
        <f t="shared" si="510"/>
        <v>1937590.8704407979</v>
      </c>
      <c r="EL134" s="10">
        <f t="shared" si="510"/>
        <v>1938413.6222423154</v>
      </c>
      <c r="EM134" s="10">
        <f t="shared" si="510"/>
        <v>1939268.1262048702</v>
      </c>
      <c r="EN134" s="10">
        <f t="shared" si="510"/>
        <v>1940154.78435527</v>
      </c>
      <c r="EO134" s="10">
        <f t="shared" si="510"/>
        <v>1941074.002772613</v>
      </c>
      <c r="EP134" s="10">
        <f t="shared" si="510"/>
        <v>1942026.1916251299</v>
      </c>
      <c r="EQ134" s="10">
        <f t="shared" si="510"/>
        <v>1943011.7652073433</v>
      </c>
      <c r="ER134" s="10">
        <f t="shared" si="510"/>
        <v>1944031.1419775465</v>
      </c>
      <c r="ES134" s="10">
        <f t="shared" si="510"/>
        <v>1945084.7445955994</v>
      </c>
      <c r="ET134" s="10">
        <f t="shared" si="510"/>
        <v>1946172.9999610516</v>
      </c>
      <c r="EU134" s="10">
        <f t="shared" si="510"/>
        <v>1947296.3392515888</v>
      </c>
      <c r="EV134" s="10">
        <f t="shared" si="510"/>
        <v>1948455.1979618091</v>
      </c>
      <c r="EW134" s="10">
        <f t="shared" si="510"/>
        <v>1949650.0159423295</v>
      </c>
      <c r="EX134" s="10">
        <f t="shared" si="510"/>
        <v>1950881.2374392296</v>
      </c>
      <c r="EY134" s="10">
        <f t="shared" si="510"/>
        <v>1952149.3111338271</v>
      </c>
      <c r="EZ134" s="10">
        <f t="shared" si="510"/>
        <v>1953454.6901827974</v>
      </c>
      <c r="FA134" s="10">
        <f t="shared" si="510"/>
        <v>1954797.8322586338</v>
      </c>
      <c r="FB134" s="10">
        <f t="shared" si="510"/>
        <v>1956179.1995904525</v>
      </c>
      <c r="FC134" s="10">
        <f t="shared" si="510"/>
        <v>1957599.2590051461</v>
      </c>
      <c r="FD134" s="10">
        <f t="shared" si="510"/>
        <v>1959058.4819688885</v>
      </c>
      <c r="FE134" s="10">
        <f t="shared" si="510"/>
        <v>1960557.3446289927</v>
      </c>
      <c r="FF134" s="10">
        <f t="shared" si="510"/>
        <v>1962096.3278561253</v>
      </c>
      <c r="FG134" s="10">
        <f t="shared" si="510"/>
        <v>1963675.9172868819</v>
      </c>
      <c r="FH134" s="10">
        <f t="shared" si="510"/>
        <v>1965296.6033667226</v>
      </c>
      <c r="FI134" s="10">
        <f t="shared" si="510"/>
        <v>1966958.8813932762</v>
      </c>
      <c r="FJ134" s="10">
        <f t="shared" si="510"/>
        <v>1968663.2515600093</v>
      </c>
      <c r="FK134" s="10">
        <f t="shared" si="510"/>
        <v>1970410.2190002704</v>
      </c>
      <c r="FL134" s="10">
        <f t="shared" si="510"/>
        <v>1972200.2938317058</v>
      </c>
      <c r="FM134" s="10">
        <f t="shared" si="510"/>
        <v>1974033.9912010548</v>
      </c>
      <c r="FN134" s="10">
        <f t="shared" si="510"/>
        <v>1975911.8313293247</v>
      </c>
      <c r="FO134" s="10">
        <f t="shared" si="510"/>
        <v>1977834.3395573501</v>
      </c>
      <c r="FP134" s="10">
        <f t="shared" si="510"/>
        <v>1979802.0463917393</v>
      </c>
      <c r="FQ134" s="10">
        <f t="shared" si="510"/>
        <v>1981815.48755121</v>
      </c>
      <c r="FR134" s="10">
        <f t="shared" si="510"/>
        <v>1983875.2040133197</v>
      </c>
      <c r="FS134" s="10">
        <f t="shared" si="510"/>
        <v>1985981.742061591</v>
      </c>
      <c r="FT134" s="10">
        <f t="shared" si="510"/>
        <v>1988135.6533330381</v>
      </c>
      <c r="FU134" s="10">
        <f t="shared" si="510"/>
        <v>1990337.4948660955</v>
      </c>
      <c r="FV134" s="10">
        <f t="shared" si="510"/>
        <v>1992587.8291489531</v>
      </c>
      <c r="FW134" s="10">
        <f t="shared" si="510"/>
        <v>1994887.2241683016</v>
      </c>
      <c r="FX134" s="10">
        <f t="shared" si="510"/>
        <v>1997236.2534584904</v>
      </c>
      <c r="FY134" s="10">
        <f t="shared" si="510"/>
        <v>1999635.4961511011</v>
      </c>
      <c r="FZ134" s="10">
        <f t="shared" si="510"/>
        <v>2002085.5370249427</v>
      </c>
      <c r="GA134" s="10">
        <f t="shared" si="510"/>
        <v>2004586.9665564683</v>
      </c>
      <c r="GB134" s="10">
        <f t="shared" si="510"/>
        <v>2007140.3809706189</v>
      </c>
      <c r="GC134" s="10">
        <f t="shared" si="510"/>
        <v>2009746.3822920979</v>
      </c>
      <c r="GD134" s="10">
        <f t="shared" si="510"/>
        <v>2012405.578397078</v>
      </c>
      <c r="GE134" s="10">
        <f t="shared" si="510"/>
        <v>2015118.583065347</v>
      </c>
      <c r="GF134" s="10">
        <f t="shared" si="510"/>
        <v>2017886.016032893</v>
      </c>
      <c r="GG134" s="10">
        <f t="shared" si="510"/>
        <v>2020708.5030449338</v>
      </c>
      <c r="GH134" s="10">
        <f t="shared" si="510"/>
        <v>2023586.6759093951</v>
      </c>
      <c r="GI134" s="10">
        <f t="shared" si="510"/>
        <v>2026521.1725508403</v>
      </c>
      <c r="GJ134" s="10">
        <f t="shared" si="510"/>
        <v>2029512.6370648551</v>
      </c>
      <c r="GK134" s="10">
        <f t="shared" si="510"/>
        <v>2032561.7197728902</v>
      </c>
      <c r="GL134" s="10">
        <f t="shared" si="510"/>
        <v>2035669.0772775689</v>
      </c>
      <c r="GM134" s="10">
        <f t="shared" ref="GM134:IX134" si="511">IF(GM95&lt;=$B$92, $B$134+GM132, 0)</f>
        <v>2038835.3725184593</v>
      </c>
      <c r="GN134" s="10">
        <f t="shared" si="511"/>
        <v>2042061.2748283178</v>
      </c>
      <c r="GO134" s="10">
        <f t="shared" si="511"/>
        <v>2045347.4599898059</v>
      </c>
      <c r="GP134" s="10">
        <f t="shared" si="511"/>
        <v>2048694.6102926857</v>
      </c>
      <c r="GQ134" s="10">
        <f t="shared" si="511"/>
        <v>2052103.4145914963</v>
      </c>
      <c r="GR134" s="10">
        <f t="shared" si="511"/>
        <v>2055574.568363718</v>
      </c>
      <c r="GS134" s="10">
        <f t="shared" si="511"/>
        <v>2059108.7737684231</v>
      </c>
      <c r="GT134" s="10">
        <f t="shared" si="511"/>
        <v>2062706.7397054229</v>
      </c>
      <c r="GU134" s="10">
        <f t="shared" si="511"/>
        <v>2066369.1818749115</v>
      </c>
      <c r="GV134" s="10">
        <f t="shared" si="511"/>
        <v>2070096.822837611</v>
      </c>
      <c r="GW134" s="10">
        <f t="shared" si="511"/>
        <v>2073890.3920754236</v>
      </c>
      <c r="GX134" s="10">
        <f t="shared" si="511"/>
        <v>2077750.6260525924</v>
      </c>
      <c r="GY134" s="10">
        <f t="shared" si="511"/>
        <v>2081678.2682773762</v>
      </c>
      <c r="GZ134" s="10">
        <f t="shared" si="511"/>
        <v>2085674.0693642444</v>
      </c>
      <c r="HA134" s="10">
        <f t="shared" si="511"/>
        <v>2089738.7870965919</v>
      </c>
      <c r="HB134" s="10">
        <f t="shared" si="511"/>
        <v>2093873.1864899821</v>
      </c>
      <c r="HC134" s="10">
        <f t="shared" si="511"/>
        <v>2098078.0398559212</v>
      </c>
      <c r="HD134" s="10">
        <f t="shared" si="511"/>
        <v>2102354.1268661651</v>
      </c>
      <c r="HE134" s="10">
        <f t="shared" si="511"/>
        <v>2106702.2346175704</v>
      </c>
      <c r="HF134" s="10">
        <f t="shared" si="511"/>
        <v>2111123.1576974848</v>
      </c>
      <c r="HG134" s="10">
        <f t="shared" si="511"/>
        <v>2115617.6982496893</v>
      </c>
      <c r="HH134" s="10">
        <f t="shared" si="511"/>
        <v>2120186.6660408899</v>
      </c>
      <c r="HI134" s="10">
        <f t="shared" si="511"/>
        <v>2124830.8785277708</v>
      </c>
      <c r="HJ134" s="10">
        <f t="shared" si="511"/>
        <v>2129551.1609246051</v>
      </c>
      <c r="HK134" s="10">
        <f t="shared" si="511"/>
        <v>2134348.3462714348</v>
      </c>
      <c r="HL134" s="10">
        <f t="shared" si="511"/>
        <v>2139223.2755028205</v>
      </c>
      <c r="HM134" s="10">
        <f t="shared" si="511"/>
        <v>2144176.7975171655</v>
      </c>
      <c r="HN134" s="10">
        <f t="shared" si="511"/>
        <v>2149209.7692466248</v>
      </c>
      <c r="HO134" s="10">
        <f t="shared" si="511"/>
        <v>2154323.0557275922</v>
      </c>
      <c r="HP134" s="10">
        <f t="shared" si="511"/>
        <v>2159517.5301717822</v>
      </c>
      <c r="HQ134" s="10">
        <f t="shared" si="511"/>
        <v>2164794.0740379039</v>
      </c>
      <c r="HR134" s="10">
        <f t="shared" si="511"/>
        <v>2170153.5771039356</v>
      </c>
      <c r="HS134" s="10">
        <f t="shared" si="511"/>
        <v>2175596.9375400022</v>
      </c>
      <c r="HT134" s="10">
        <f t="shared" si="511"/>
        <v>2181125.0619818615</v>
      </c>
      <c r="HU134" s="10">
        <f t="shared" si="511"/>
        <v>2186738.865605006</v>
      </c>
      <c r="HV134" s="10">
        <f t="shared" si="511"/>
        <v>2192439.2721993802</v>
      </c>
      <c r="HW134" s="10">
        <f t="shared" si="511"/>
        <v>2198227.2142447261</v>
      </c>
      <c r="HX134" s="10">
        <f t="shared" si="511"/>
        <v>2204103.6329865549</v>
      </c>
      <c r="HY134" s="10">
        <f t="shared" si="511"/>
        <v>2210069.4785127505</v>
      </c>
      <c r="HZ134" s="10">
        <f t="shared" si="511"/>
        <v>2216125.7098308182</v>
      </c>
      <c r="IA134" s="10">
        <f t="shared" si="511"/>
        <v>2222273.2949457713</v>
      </c>
      <c r="IB134" s="10">
        <f t="shared" si="511"/>
        <v>2228513.2109386697</v>
      </c>
      <c r="IC134" s="10">
        <f t="shared" si="511"/>
        <v>2234846.4440458147</v>
      </c>
      <c r="ID134" s="10">
        <f t="shared" si="511"/>
        <v>2241273.9897386017</v>
      </c>
      <c r="IE134" s="10">
        <f t="shared" si="511"/>
        <v>2247796.8528040359</v>
      </c>
      <c r="IF134" s="10">
        <f t="shared" si="511"/>
        <v>2254416.0474259257</v>
      </c>
      <c r="IG134" s="10">
        <f t="shared" si="511"/>
        <v>2261132.5972667439</v>
      </c>
      <c r="IH134" s="10">
        <f t="shared" si="511"/>
        <v>2267947.5355501752</v>
      </c>
      <c r="II134" s="10">
        <f t="shared" si="511"/>
        <v>2274861.9051443501</v>
      </c>
      <c r="IJ134" s="10">
        <f t="shared" si="511"/>
        <v>2281876.7586457701</v>
      </c>
      <c r="IK134" s="10">
        <f t="shared" si="511"/>
        <v>2288993.1584639312</v>
      </c>
      <c r="IL134" s="10">
        <f t="shared" si="511"/>
        <v>2296212.1769066514</v>
      </c>
      <c r="IM134" s="10">
        <f t="shared" si="511"/>
        <v>2303534.8962661074</v>
      </c>
      <c r="IN134" s="10">
        <f t="shared" si="511"/>
        <v>2310962.4089055872</v>
      </c>
      <c r="IO134" s="10">
        <f t="shared" si="511"/>
        <v>2318495.8173469617</v>
      </c>
      <c r="IP134" s="10">
        <f t="shared" si="511"/>
        <v>2326136.2343588835</v>
      </c>
      <c r="IQ134" s="10">
        <f t="shared" si="511"/>
        <v>2333884.7830457203</v>
      </c>
      <c r="IR134" s="10">
        <f t="shared" si="511"/>
        <v>2341742.5969372215</v>
      </c>
      <c r="IS134" s="10">
        <f t="shared" si="511"/>
        <v>2349710.8200789364</v>
      </c>
      <c r="IT134" s="10">
        <f t="shared" si="511"/>
        <v>2357790.6071233749</v>
      </c>
      <c r="IU134" s="10">
        <f t="shared" si="511"/>
        <v>2365983.1234219298</v>
      </c>
      <c r="IV134" s="10">
        <f t="shared" si="511"/>
        <v>2374289.5451175608</v>
      </c>
      <c r="IW134" s="10">
        <f t="shared" si="511"/>
        <v>2382711.0592382429</v>
      </c>
      <c r="IX134" s="10">
        <f t="shared" si="511"/>
        <v>2391248.8637911957</v>
      </c>
      <c r="IY134" s="10">
        <f t="shared" ref="IY134:LJ134" si="512">IF(IY95&lt;=$B$92, $B$134+IY132, 0)</f>
        <v>2399904.1678578882</v>
      </c>
      <c r="IZ134" s="10">
        <f t="shared" si="512"/>
        <v>2408678.1916898335</v>
      </c>
      <c r="JA134" s="10">
        <f t="shared" si="512"/>
        <v>2417572.1668051761</v>
      </c>
      <c r="JB134" s="10">
        <f t="shared" si="512"/>
        <v>2426587.336086079</v>
      </c>
      <c r="JC134" s="10">
        <f t="shared" si="512"/>
        <v>2435724.9538769191</v>
      </c>
      <c r="JD134" s="10">
        <f t="shared" si="512"/>
        <v>2444986.2860832904</v>
      </c>
      <c r="JE134" s="10">
        <f t="shared" si="512"/>
        <v>2454372.6102718315</v>
      </c>
      <c r="JF134" s="10">
        <f t="shared" si="512"/>
        <v>2463885.215770876</v>
      </c>
      <c r="JG134" s="10">
        <f t="shared" si="512"/>
        <v>2473525.4037719369</v>
      </c>
      <c r="JH134" s="10">
        <f t="shared" si="512"/>
        <v>2483294.4874320286</v>
      </c>
      <c r="JI134" s="10">
        <f t="shared" si="512"/>
        <v>2493193.7919768356</v>
      </c>
      <c r="JJ134" s="10">
        <f t="shared" si="512"/>
        <v>2503224.6548047336</v>
      </c>
      <c r="JK134" s="10">
        <f t="shared" si="512"/>
        <v>2513388.4255916704</v>
      </c>
      <c r="JL134" s="10">
        <f t="shared" si="512"/>
        <v>2523686.4663969125</v>
      </c>
      <c r="JM134" s="10">
        <f t="shared" si="512"/>
        <v>2534120.1517696655</v>
      </c>
      <c r="JN134" s="10">
        <f t="shared" si="512"/>
        <v>2544690.8688565735</v>
      </c>
      <c r="JO134" s="10">
        <f t="shared" si="512"/>
        <v>2555400.0175101073</v>
      </c>
      <c r="JP134" s="10">
        <f t="shared" si="512"/>
        <v>2566249.0103978468</v>
      </c>
      <c r="JQ134" s="10">
        <f t="shared" si="512"/>
        <v>2577239.2731126635</v>
      </c>
      <c r="JR134" s="10">
        <f t="shared" si="512"/>
        <v>2588372.244283814</v>
      </c>
      <c r="JS134" s="10">
        <f t="shared" si="512"/>
        <v>2599649.3756889473</v>
      </c>
      <c r="JT134" s="10">
        <f t="shared" si="512"/>
        <v>2611072.1323670363</v>
      </c>
      <c r="JU134" s="10">
        <f t="shared" si="512"/>
        <v>2622641.9927322408</v>
      </c>
      <c r="JV134" s="10">
        <f t="shared" si="512"/>
        <v>2634360.4486887087</v>
      </c>
      <c r="JW134" s="10">
        <f t="shared" si="512"/>
        <v>2646229.0057463199</v>
      </c>
      <c r="JX134" s="10">
        <f t="shared" si="512"/>
        <v>2658249.183137388</v>
      </c>
      <c r="JY134" s="10">
        <f t="shared" si="512"/>
        <v>2670422.5139343189</v>
      </c>
      <c r="JZ134" s="10">
        <f t="shared" si="512"/>
        <v>2682750.545168242</v>
      </c>
      <c r="KA134" s="10">
        <f t="shared" si="512"/>
        <v>2695234.8379486115</v>
      </c>
      <c r="KB134" s="10">
        <f t="shared" si="512"/>
        <v>2707876.9675837988</v>
      </c>
      <c r="KC134" s="10">
        <f t="shared" si="512"/>
        <v>2720678.5237026731</v>
      </c>
      <c r="KD134" s="10">
        <f t="shared" si="512"/>
        <v>2733641.1103771795</v>
      </c>
      <c r="KE134" s="10">
        <f t="shared" si="512"/>
        <v>2746766.3462459315</v>
      </c>
      <c r="KF134" s="10">
        <f t="shared" si="512"/>
        <v>2760055.8646388119</v>
      </c>
      <c r="KG134" s="10">
        <f t="shared" si="512"/>
        <v>2773511.3137026047</v>
      </c>
      <c r="KH134" s="10">
        <f t="shared" si="512"/>
        <v>2787134.3565276531</v>
      </c>
      <c r="KI134" s="10">
        <f t="shared" si="512"/>
        <v>2800926.6712755607</v>
      </c>
      <c r="KJ134" s="10">
        <f t="shared" si="512"/>
        <v>2814889.9513079422</v>
      </c>
      <c r="KK134" s="10">
        <f t="shared" si="512"/>
        <v>2829025.9053162304</v>
      </c>
      <c r="KL134" s="10">
        <f t="shared" si="512"/>
        <v>2843336.2574525457</v>
      </c>
      <c r="KM134" s="10">
        <f t="shared" si="512"/>
        <v>2857822.747461644</v>
      </c>
      <c r="KN134" s="10">
        <f t="shared" si="512"/>
        <v>2872487.1308139451</v>
      </c>
      <c r="KO134" s="10">
        <f t="shared" si="512"/>
        <v>2887331.1788396523</v>
      </c>
      <c r="KP134" s="10">
        <f t="shared" si="512"/>
        <v>2902356.6788639706</v>
      </c>
      <c r="KQ134" s="10">
        <f t="shared" si="512"/>
        <v>2917565.4343434353</v>
      </c>
      <c r="KR134" s="10">
        <f t="shared" si="512"/>
        <v>2932959.265003358</v>
      </c>
      <c r="KS134" s="10">
        <f t="shared" si="512"/>
        <v>2948540.0069763968</v>
      </c>
      <c r="KT134" s="10">
        <f t="shared" si="512"/>
        <v>2964309.5129422648</v>
      </c>
      <c r="KU134" s="10">
        <f t="shared" si="512"/>
        <v>2980269.6522685788</v>
      </c>
      <c r="KV134" s="10">
        <f t="shared" si="512"/>
        <v>2996422.3111528661</v>
      </c>
      <c r="KW134" s="10">
        <f t="shared" si="512"/>
        <v>3012769.3927657297</v>
      </c>
      <c r="KX134" s="10">
        <f t="shared" si="512"/>
        <v>3029312.8173951893</v>
      </c>
      <c r="KY134" s="10">
        <f t="shared" si="512"/>
        <v>3046054.522592199</v>
      </c>
      <c r="KZ134" s="10">
        <f t="shared" si="512"/>
        <v>3062996.4633173584</v>
      </c>
      <c r="LA134" s="10">
        <f t="shared" si="512"/>
        <v>3080140.6120888237</v>
      </c>
      <c r="LB134" s="10">
        <f t="shared" si="512"/>
        <v>3097488.9591314276</v>
      </c>
      <c r="LC134" s="10">
        <f t="shared" si="512"/>
        <v>3115043.5125270169</v>
      </c>
      <c r="LD134" s="10">
        <f t="shared" si="512"/>
        <v>3132806.2983660218</v>
      </c>
      <c r="LE134" s="10">
        <f t="shared" si="512"/>
        <v>3150779.3609002624</v>
      </c>
      <c r="LF134" s="10">
        <f t="shared" si="512"/>
        <v>3168964.7626970029</v>
      </c>
      <c r="LG134" s="10">
        <f t="shared" si="512"/>
        <v>3187364.5847942643</v>
      </c>
      <c r="LH134" s="10">
        <f t="shared" si="512"/>
        <v>3205980.9268574067</v>
      </c>
      <c r="LI134" s="10">
        <f t="shared" si="512"/>
        <v>3224815.907336989</v>
      </c>
      <c r="LJ134" s="10">
        <f t="shared" si="512"/>
        <v>3243871.6636279169</v>
      </c>
      <c r="LK134" s="10">
        <f t="shared" ref="LK134:NV134" si="513">IF(LK95&lt;=$B$92, $B$134+LK132, 0)</f>
        <v>3263150.3522298895</v>
      </c>
      <c r="LL134" s="10">
        <f t="shared" si="513"/>
        <v>3282654.1489091581</v>
      </c>
      <c r="LM134" s="10">
        <f t="shared" si="513"/>
        <v>3302385.2488615969</v>
      </c>
      <c r="LN134" s="10">
        <f t="shared" si="513"/>
        <v>3322345.8668771139</v>
      </c>
      <c r="LO134" s="10">
        <f t="shared" si="513"/>
        <v>3342538.2375053922</v>
      </c>
      <c r="LP134" s="10">
        <f t="shared" si="513"/>
        <v>3362964.6152229887</v>
      </c>
      <c r="LQ134" s="10">
        <f t="shared" si="513"/>
        <v>3383627.2746017948</v>
      </c>
      <c r="LR134" s="10">
        <f t="shared" si="513"/>
        <v>3404528.5104788644</v>
      </c>
      <c r="LS134" s="10">
        <f t="shared" si="513"/>
        <v>3425670.6381276306</v>
      </c>
      <c r="LT134" s="10">
        <f t="shared" si="513"/>
        <v>3447055.993430513</v>
      </c>
      <c r="LU134" s="10">
        <f t="shared" si="513"/>
        <v>3468686.9330529347</v>
      </c>
      <c r="LV134" s="10">
        <f t="shared" si="513"/>
        <v>3490565.8346187519</v>
      </c>
      <c r="LW134" s="10">
        <f t="shared" si="513"/>
        <v>3512695.0968871126</v>
      </c>
      <c r="LX134" s="10">
        <f t="shared" si="513"/>
        <v>3535077.1399307554</v>
      </c>
      <c r="LY134" s="10">
        <f t="shared" si="513"/>
        <v>3557714.4053157568</v>
      </c>
      <c r="LZ134" s="10">
        <f t="shared" si="513"/>
        <v>3580609.3562827436</v>
      </c>
      <c r="MA134" s="10">
        <f t="shared" si="513"/>
        <v>3603764.4779295754</v>
      </c>
      <c r="MB134" s="10">
        <f t="shared" si="513"/>
        <v>3627182.277395512</v>
      </c>
      <c r="MC134" s="10">
        <f t="shared" si="513"/>
        <v>3650865.2840468832</v>
      </c>
      <c r="MD134" s="10">
        <f t="shared" si="513"/>
        <v>3674816.0496642618</v>
      </c>
      <c r="ME134" s="10">
        <f t="shared" si="513"/>
        <v>3699037.1486311583</v>
      </c>
      <c r="MF134" s="10">
        <f t="shared" si="513"/>
        <v>3723531.1781242499</v>
      </c>
      <c r="MG134" s="10">
        <f t="shared" si="513"/>
        <v>3748300.7583051533</v>
      </c>
      <c r="MH134" s="10">
        <f t="shared" si="513"/>
        <v>3773348.5325137563</v>
      </c>
      <c r="MI134" s="10">
        <f t="shared" si="513"/>
        <v>3798677.1674631136</v>
      </c>
      <c r="MJ134" s="10">
        <f t="shared" si="513"/>
        <v>3824289.3534359327</v>
      </c>
      <c r="MK134" s="10">
        <f t="shared" si="513"/>
        <v>3850187.8044826444</v>
      </c>
      <c r="ML134" s="10">
        <f t="shared" si="513"/>
        <v>3876375.2586210892</v>
      </c>
      <c r="MM134" s="10">
        <f t="shared" si="513"/>
        <v>3902854.4780378155</v>
      </c>
      <c r="MN134" s="10">
        <f t="shared" si="513"/>
        <v>3929628.2492910167</v>
      </c>
      <c r="MO134" s="10">
        <f t="shared" si="513"/>
        <v>3956699.3835151079</v>
      </c>
      <c r="MP134" s="10">
        <f t="shared" si="513"/>
        <v>3984070.7166269645</v>
      </c>
      <c r="MQ134" s="10">
        <f t="shared" si="513"/>
        <v>4011745.1095338301</v>
      </c>
      <c r="MR134" s="10">
        <f t="shared" si="513"/>
        <v>4039725.44834291</v>
      </c>
      <c r="MS134" s="10">
        <f t="shared" si="513"/>
        <v>4068014.6445726608</v>
      </c>
      <c r="MT134" s="10">
        <f t="shared" si="513"/>
        <v>4096615.6353657939</v>
      </c>
      <c r="MU134" s="10">
        <f t="shared" si="513"/>
        <v>4125531.3837040002</v>
      </c>
      <c r="MV134" s="10">
        <f t="shared" si="513"/>
        <v>4154764.878624415</v>
      </c>
      <c r="MW134" s="10">
        <f t="shared" si="513"/>
        <v>4184319.135437835</v>
      </c>
      <c r="MX134" s="10">
        <f t="shared" si="513"/>
        <v>4214197.1959486995</v>
      </c>
      <c r="MY134" s="10">
        <f t="shared" si="513"/>
        <v>0</v>
      </c>
      <c r="MZ134" s="10">
        <f t="shared" si="513"/>
        <v>0</v>
      </c>
      <c r="NA134" s="10">
        <f t="shared" si="513"/>
        <v>0</v>
      </c>
      <c r="NB134" s="10">
        <f t="shared" si="513"/>
        <v>0</v>
      </c>
      <c r="NC134" s="10">
        <f t="shared" si="513"/>
        <v>0</v>
      </c>
      <c r="ND134" s="10">
        <f t="shared" si="513"/>
        <v>0</v>
      </c>
      <c r="NE134" s="10">
        <f t="shared" si="513"/>
        <v>0</v>
      </c>
      <c r="NF134" s="10">
        <f t="shared" si="513"/>
        <v>0</v>
      </c>
      <c r="NG134" s="10">
        <f t="shared" si="513"/>
        <v>0</v>
      </c>
      <c r="NH134" s="10">
        <f t="shared" si="513"/>
        <v>0</v>
      </c>
      <c r="NI134" s="10">
        <f t="shared" si="513"/>
        <v>0</v>
      </c>
      <c r="NJ134" s="10">
        <f t="shared" si="513"/>
        <v>0</v>
      </c>
      <c r="NK134" s="10">
        <f t="shared" si="513"/>
        <v>0</v>
      </c>
      <c r="NL134" s="10">
        <f t="shared" si="513"/>
        <v>0</v>
      </c>
      <c r="NM134" s="10">
        <f t="shared" si="513"/>
        <v>0</v>
      </c>
      <c r="NN134" s="10">
        <f t="shared" si="513"/>
        <v>0</v>
      </c>
      <c r="NO134" s="10">
        <f t="shared" si="513"/>
        <v>0</v>
      </c>
      <c r="NP134" s="10">
        <f t="shared" si="513"/>
        <v>0</v>
      </c>
      <c r="NQ134" s="10">
        <f t="shared" si="513"/>
        <v>0</v>
      </c>
      <c r="NR134" s="10">
        <f t="shared" si="513"/>
        <v>0</v>
      </c>
      <c r="NS134" s="10">
        <f t="shared" si="513"/>
        <v>0</v>
      </c>
      <c r="NT134" s="10">
        <f t="shared" si="513"/>
        <v>0</v>
      </c>
      <c r="NU134" s="10">
        <f t="shared" si="513"/>
        <v>0</v>
      </c>
      <c r="NV134" s="10">
        <f t="shared" si="513"/>
        <v>0</v>
      </c>
      <c r="NW134" s="10">
        <f t="shared" ref="NW134:PF134" si="514">IF(NW95&lt;=$B$92, $B$134+NW132, 0)</f>
        <v>0</v>
      </c>
      <c r="NX134" s="10">
        <f t="shared" si="514"/>
        <v>0</v>
      </c>
      <c r="NY134" s="10">
        <f t="shared" si="514"/>
        <v>0</v>
      </c>
      <c r="NZ134" s="10">
        <f t="shared" si="514"/>
        <v>0</v>
      </c>
      <c r="OA134" s="10">
        <f t="shared" si="514"/>
        <v>0</v>
      </c>
      <c r="OB134" s="10">
        <f t="shared" si="514"/>
        <v>0</v>
      </c>
      <c r="OC134" s="10">
        <f t="shared" si="514"/>
        <v>0</v>
      </c>
      <c r="OD134" s="10">
        <f t="shared" si="514"/>
        <v>0</v>
      </c>
      <c r="OE134" s="10">
        <f t="shared" si="514"/>
        <v>0</v>
      </c>
      <c r="OF134" s="10">
        <f t="shared" si="514"/>
        <v>0</v>
      </c>
      <c r="OG134" s="10">
        <f t="shared" si="514"/>
        <v>0</v>
      </c>
      <c r="OH134" s="10">
        <f t="shared" si="514"/>
        <v>0</v>
      </c>
      <c r="OI134" s="10">
        <f t="shared" si="514"/>
        <v>0</v>
      </c>
      <c r="OJ134" s="10">
        <f t="shared" si="514"/>
        <v>0</v>
      </c>
      <c r="OK134" s="10">
        <f t="shared" si="514"/>
        <v>0</v>
      </c>
      <c r="OL134" s="10">
        <f t="shared" si="514"/>
        <v>0</v>
      </c>
      <c r="OM134" s="10">
        <f t="shared" si="514"/>
        <v>0</v>
      </c>
      <c r="ON134" s="10">
        <f t="shared" si="514"/>
        <v>0</v>
      </c>
      <c r="OO134" s="10">
        <f t="shared" si="514"/>
        <v>0</v>
      </c>
      <c r="OP134" s="10">
        <f t="shared" si="514"/>
        <v>0</v>
      </c>
      <c r="OQ134" s="10">
        <f t="shared" si="514"/>
        <v>0</v>
      </c>
      <c r="OR134" s="10">
        <f t="shared" si="514"/>
        <v>0</v>
      </c>
      <c r="OS134" s="10">
        <f t="shared" si="514"/>
        <v>0</v>
      </c>
      <c r="OT134" s="10">
        <f t="shared" si="514"/>
        <v>0</v>
      </c>
      <c r="OU134" s="10">
        <f t="shared" si="514"/>
        <v>0</v>
      </c>
      <c r="OV134" s="10">
        <f t="shared" si="514"/>
        <v>0</v>
      </c>
      <c r="OW134" s="10">
        <f t="shared" si="514"/>
        <v>0</v>
      </c>
      <c r="OX134" s="10">
        <f t="shared" si="514"/>
        <v>0</v>
      </c>
      <c r="OY134" s="10">
        <f t="shared" si="514"/>
        <v>0</v>
      </c>
      <c r="OZ134" s="10">
        <f t="shared" si="514"/>
        <v>0</v>
      </c>
      <c r="PA134" s="10">
        <f t="shared" si="514"/>
        <v>0</v>
      </c>
      <c r="PB134" s="10">
        <f t="shared" si="514"/>
        <v>0</v>
      </c>
      <c r="PC134" s="10">
        <f t="shared" si="514"/>
        <v>0</v>
      </c>
      <c r="PD134" s="10">
        <f t="shared" si="514"/>
        <v>0</v>
      </c>
      <c r="PE134" s="10">
        <f t="shared" si="514"/>
        <v>0</v>
      </c>
      <c r="PF134" s="10">
        <f t="shared" si="514"/>
        <v>0</v>
      </c>
    </row>
    <row r="135" spans="1:422" hidden="1">
      <c r="C135" s="18"/>
    </row>
    <row r="136" spans="1:422" s="11" customFormat="1" hidden="1">
      <c r="A136" s="13"/>
      <c r="B136" s="10"/>
      <c r="C136" s="19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</row>
    <row r="137" spans="1:422">
      <c r="C137" s="18"/>
    </row>
    <row r="138" spans="1:422">
      <c r="C138" s="18"/>
    </row>
    <row r="139" spans="1:422">
      <c r="C139" s="18"/>
    </row>
    <row r="140" spans="1:422">
      <c r="C140" s="18"/>
    </row>
    <row r="141" spans="1:422">
      <c r="C141" s="18"/>
    </row>
    <row r="142" spans="1:422">
      <c r="C142" s="18"/>
    </row>
    <row r="143" spans="1:422">
      <c r="C143" s="18"/>
    </row>
    <row r="144" spans="1:422">
      <c r="C144" s="18"/>
    </row>
    <row r="145" spans="3:3">
      <c r="C145" s="18"/>
    </row>
    <row r="146" spans="3:3">
      <c r="C146" s="18"/>
    </row>
    <row r="147" spans="3:3">
      <c r="C147" s="18"/>
    </row>
    <row r="148" spans="3:3">
      <c r="C148" s="18"/>
    </row>
    <row r="149" spans="3:3">
      <c r="C149" s="18"/>
    </row>
    <row r="150" spans="3:3">
      <c r="C150" s="18"/>
    </row>
    <row r="151" spans="3:3">
      <c r="C151" s="18"/>
    </row>
    <row r="152" spans="3:3">
      <c r="C152" s="18"/>
    </row>
    <row r="153" spans="3:3">
      <c r="C153" s="18"/>
    </row>
    <row r="154" spans="3:3">
      <c r="C154" s="18"/>
    </row>
    <row r="155" spans="3:3">
      <c r="C155" s="18"/>
    </row>
    <row r="156" spans="3:3">
      <c r="C156" s="18"/>
    </row>
    <row r="157" spans="3:3">
      <c r="C157" s="18"/>
    </row>
    <row r="158" spans="3:3">
      <c r="C158" s="18"/>
    </row>
    <row r="159" spans="3:3">
      <c r="C159" s="18"/>
    </row>
    <row r="160" spans="3:3">
      <c r="C160" s="18"/>
    </row>
    <row r="161" spans="3:3">
      <c r="C161" s="18"/>
    </row>
    <row r="162" spans="3:3">
      <c r="C162" s="18"/>
    </row>
    <row r="163" spans="3:3">
      <c r="C163" s="18"/>
    </row>
    <row r="164" spans="3:3">
      <c r="C164" s="18"/>
    </row>
    <row r="165" spans="3:3">
      <c r="C165" s="18"/>
    </row>
    <row r="166" spans="3:3">
      <c r="C166" s="18"/>
    </row>
    <row r="167" spans="3:3">
      <c r="C167" s="18"/>
    </row>
    <row r="168" spans="3:3">
      <c r="C168" s="18"/>
    </row>
    <row r="169" spans="3:3">
      <c r="C169" s="18"/>
    </row>
    <row r="170" spans="3:3">
      <c r="C170" s="18"/>
    </row>
    <row r="171" spans="3:3">
      <c r="C171" s="18"/>
    </row>
    <row r="172" spans="3:3">
      <c r="C172" s="18"/>
    </row>
    <row r="173" spans="3:3">
      <c r="C173" s="18"/>
    </row>
    <row r="174" spans="3:3">
      <c r="C174" s="18"/>
    </row>
    <row r="175" spans="3:3">
      <c r="C175" s="18"/>
    </row>
    <row r="176" spans="3:3">
      <c r="C176" s="18"/>
    </row>
    <row r="177" spans="3:3">
      <c r="C177" s="18"/>
    </row>
    <row r="178" spans="3:3">
      <c r="C178" s="18"/>
    </row>
    <row r="179" spans="3:3">
      <c r="C179" s="18"/>
    </row>
    <row r="180" spans="3:3">
      <c r="C180" s="18"/>
    </row>
    <row r="181" spans="3:3">
      <c r="C181" s="18"/>
    </row>
    <row r="182" spans="3:3">
      <c r="C182" s="18"/>
    </row>
    <row r="183" spans="3:3">
      <c r="C183" s="18"/>
    </row>
    <row r="184" spans="3:3">
      <c r="C184" s="18"/>
    </row>
    <row r="185" spans="3:3">
      <c r="C185" s="18"/>
    </row>
    <row r="186" spans="3:3">
      <c r="C186" s="18"/>
    </row>
    <row r="187" spans="3:3">
      <c r="C187" s="18"/>
    </row>
    <row r="188" spans="3:3">
      <c r="C188" s="18"/>
    </row>
    <row r="189" spans="3:3">
      <c r="C189" s="18"/>
    </row>
    <row r="190" spans="3:3">
      <c r="C190" s="18"/>
    </row>
    <row r="191" spans="3:3">
      <c r="C191" s="18"/>
    </row>
    <row r="192" spans="3:3">
      <c r="C192" s="18"/>
    </row>
    <row r="193" spans="3:3">
      <c r="C193" s="18"/>
    </row>
    <row r="194" spans="3:3">
      <c r="C194" s="18"/>
    </row>
    <row r="195" spans="3:3">
      <c r="C195" s="18"/>
    </row>
    <row r="196" spans="3:3">
      <c r="C196" s="18"/>
    </row>
    <row r="197" spans="3:3">
      <c r="C197" s="18"/>
    </row>
    <row r="198" spans="3:3">
      <c r="C198" s="18"/>
    </row>
    <row r="199" spans="3:3">
      <c r="C199" s="18"/>
    </row>
    <row r="200" spans="3:3">
      <c r="C200" s="18"/>
    </row>
    <row r="201" spans="3:3">
      <c r="C201" s="18"/>
    </row>
    <row r="202" spans="3:3">
      <c r="C202" s="18"/>
    </row>
    <row r="203" spans="3:3">
      <c r="C203" s="18"/>
    </row>
    <row r="204" spans="3:3">
      <c r="C204" s="18"/>
    </row>
    <row r="205" spans="3:3">
      <c r="C205" s="18"/>
    </row>
    <row r="206" spans="3:3">
      <c r="C206" s="18"/>
    </row>
    <row r="207" spans="3:3">
      <c r="C207" s="18"/>
    </row>
    <row r="208" spans="3:3">
      <c r="C208" s="18"/>
    </row>
    <row r="209" spans="3:3">
      <c r="C209" s="18"/>
    </row>
    <row r="210" spans="3:3">
      <c r="C210" s="18"/>
    </row>
    <row r="211" spans="3:3">
      <c r="C211" s="18"/>
    </row>
    <row r="212" spans="3:3">
      <c r="C212" s="18"/>
    </row>
    <row r="213" spans="3:3">
      <c r="C213" s="18"/>
    </row>
    <row r="214" spans="3:3">
      <c r="C214" s="18"/>
    </row>
    <row r="215" spans="3:3">
      <c r="C215" s="18"/>
    </row>
    <row r="216" spans="3:3">
      <c r="C216" s="18"/>
    </row>
    <row r="217" spans="3:3">
      <c r="C217" s="18"/>
    </row>
    <row r="218" spans="3:3">
      <c r="C218" s="18"/>
    </row>
    <row r="219" spans="3:3">
      <c r="C219" s="18"/>
    </row>
    <row r="220" spans="3:3">
      <c r="C220" s="18"/>
    </row>
    <row r="221" spans="3:3">
      <c r="C221" s="18"/>
    </row>
    <row r="222" spans="3:3">
      <c r="C222" s="18"/>
    </row>
    <row r="223" spans="3:3">
      <c r="C223" s="18"/>
    </row>
    <row r="224" spans="3:3">
      <c r="C224" s="18"/>
    </row>
    <row r="225" spans="3:3">
      <c r="C225" s="18"/>
    </row>
    <row r="226" spans="3:3">
      <c r="C226" s="18"/>
    </row>
    <row r="227" spans="3:3">
      <c r="C227" s="18"/>
    </row>
    <row r="228" spans="3:3">
      <c r="C228" s="18"/>
    </row>
    <row r="229" spans="3:3">
      <c r="C229" s="18"/>
    </row>
    <row r="230" spans="3:3">
      <c r="C230" s="18"/>
    </row>
    <row r="231" spans="3:3">
      <c r="C231" s="18"/>
    </row>
    <row r="232" spans="3:3">
      <c r="C232" s="18"/>
    </row>
    <row r="233" spans="3:3">
      <c r="C233" s="18"/>
    </row>
    <row r="234" spans="3:3">
      <c r="C234" s="18"/>
    </row>
    <row r="235" spans="3:3">
      <c r="C235" s="18"/>
    </row>
    <row r="236" spans="3:3">
      <c r="C236" s="18"/>
    </row>
    <row r="237" spans="3:3">
      <c r="C237" s="18"/>
    </row>
    <row r="238" spans="3:3">
      <c r="C238" s="18"/>
    </row>
    <row r="239" spans="3:3">
      <c r="C239" s="18"/>
    </row>
    <row r="240" spans="3:3">
      <c r="C240" s="18"/>
    </row>
    <row r="241" spans="3:3">
      <c r="C241" s="18"/>
    </row>
    <row r="242" spans="3:3">
      <c r="C242" s="18"/>
    </row>
    <row r="243" spans="3:3">
      <c r="C243" s="18"/>
    </row>
    <row r="244" spans="3:3">
      <c r="C244" s="18"/>
    </row>
    <row r="245" spans="3:3">
      <c r="C245" s="18"/>
    </row>
    <row r="246" spans="3:3">
      <c r="C246" s="18"/>
    </row>
    <row r="247" spans="3:3">
      <c r="C247" s="18"/>
    </row>
    <row r="248" spans="3:3">
      <c r="C248" s="18"/>
    </row>
    <row r="249" spans="3:3">
      <c r="C249" s="18"/>
    </row>
    <row r="250" spans="3:3">
      <c r="C250" s="18"/>
    </row>
    <row r="251" spans="3:3">
      <c r="C251" s="18"/>
    </row>
    <row r="252" spans="3:3">
      <c r="C252" s="18"/>
    </row>
    <row r="253" spans="3:3">
      <c r="C253" s="18"/>
    </row>
    <row r="254" spans="3:3">
      <c r="C254" s="18"/>
    </row>
    <row r="255" spans="3:3">
      <c r="C255" s="18"/>
    </row>
    <row r="256" spans="3:3">
      <c r="C256" s="18"/>
    </row>
    <row r="257" spans="3:3">
      <c r="C257" s="18"/>
    </row>
    <row r="258" spans="3:3">
      <c r="C258" s="18"/>
    </row>
    <row r="259" spans="3:3">
      <c r="C259" s="18"/>
    </row>
    <row r="260" spans="3:3">
      <c r="C260" s="18"/>
    </row>
    <row r="261" spans="3:3">
      <c r="C261" s="18"/>
    </row>
  </sheetData>
  <sheetProtection algorithmName="SHA-512" hashValue="DbRjoK8Xlfp1QrPkq5aFcfYiEUnsrAOmPTtygxb+01vzdWOp0kitWk8zM2ymU33yoR3j7Z2pGLbWdKBgoZtVTQ==" saltValue="Ib0R8cPA/SXeLWQSJQlDZg==" spinCount="100000" sheet="1" objects="1" scenarios="1" selectLockedCells="1"/>
  <mergeCells count="7">
    <mergeCell ref="D34:E34"/>
    <mergeCell ref="D35:E35"/>
    <mergeCell ref="A19:B19"/>
    <mergeCell ref="A21:B21"/>
    <mergeCell ref="D21:E21"/>
    <mergeCell ref="A32:B32"/>
    <mergeCell ref="D28:E28"/>
  </mergeCells>
  <pageMargins left="0.25" right="0.25" top="0.75" bottom="0.75" header="0.3" footer="0.3"/>
  <pageSetup orientation="portrait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cp:revision/>
  <dcterms:created xsi:type="dcterms:W3CDTF">2014-12-28T14:48:20Z</dcterms:created>
  <dcterms:modified xsi:type="dcterms:W3CDTF">2021-05-10T11:42:18Z</dcterms:modified>
  <cp:category/>
  <cp:contentStatus/>
</cp:coreProperties>
</file>