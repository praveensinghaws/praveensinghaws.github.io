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Calculators\Land Area Converter\"/>
    </mc:Choice>
  </mc:AlternateContent>
  <xr:revisionPtr revIDLastSave="0" documentId="8_{083FB691-4927-45A7-8827-000CA72B67E3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Land Area Calculator" sheetId="1" r:id="rId1"/>
  </sheets>
  <definedNames>
    <definedName name="Area">'Land Area Calculator'!$B$22:$B$69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E31" i="1" l="1"/>
  <c r="D12" i="1" l="1"/>
  <c r="D11" i="1"/>
  <c r="D15" i="1" l="1"/>
  <c r="A23" i="1"/>
  <c r="A24" i="1" s="1"/>
  <c r="A25" i="1" s="1"/>
  <c r="A26" i="1" s="1"/>
  <c r="D31" i="1"/>
  <c r="D26" i="1"/>
  <c r="D27" i="1"/>
  <c r="D28" i="1"/>
  <c r="D29" i="1"/>
  <c r="D25" i="1"/>
  <c r="D49" i="1" s="1"/>
  <c r="D65" i="1"/>
  <c r="D63" i="1"/>
  <c r="E61" i="1"/>
  <c r="D61" i="1"/>
  <c r="D58" i="1"/>
  <c r="E56" i="1"/>
  <c r="D54" i="1"/>
  <c r="D51" i="1"/>
  <c r="E50" i="1"/>
  <c r="D46" i="1"/>
  <c r="E39" i="1"/>
  <c r="D39" i="1"/>
  <c r="E36" i="1"/>
  <c r="E35" i="1"/>
  <c r="E34" i="1"/>
  <c r="E33" i="1"/>
  <c r="E32" i="1"/>
  <c r="D23" i="1"/>
  <c r="D60" i="1" l="1"/>
  <c r="D68" i="1"/>
  <c r="D24" i="1"/>
  <c r="D66" i="1"/>
  <c r="D33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D32" i="1"/>
  <c r="D34" i="1"/>
  <c r="D35" i="1"/>
  <c r="D36" i="1"/>
  <c r="D47" i="1"/>
  <c r="D56" i="1" s="1"/>
  <c r="D50" i="1"/>
  <c r="D41" i="1" s="1"/>
  <c r="D57" i="1"/>
  <c r="D40" i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l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D14" i="1" l="1"/>
  <c r="A66" i="1"/>
  <c r="A67" i="1" s="1"/>
  <c r="A68" i="1" s="1"/>
  <c r="A69" i="1" l="1"/>
  <c r="D13" i="1"/>
  <c r="D16" i="1" s="1"/>
  <c r="D17" i="1" s="1"/>
  <c r="A7" i="1" s="1"/>
</calcChain>
</file>

<file path=xl/sharedStrings.xml><?xml version="1.0" encoding="utf-8"?>
<sst xmlns="http://schemas.openxmlformats.org/spreadsheetml/2006/main" count="135" uniqueCount="112">
  <si>
    <r>
      <t xml:space="preserve">Land Area Converter                                  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22"/>
        <color theme="0"/>
        <rFont val="Calibri"/>
        <family val="2"/>
        <scheme val="minor"/>
      </rPr>
      <t xml:space="preserve">                </t>
    </r>
  </si>
  <si>
    <t>Input Value</t>
  </si>
  <si>
    <t>Select Unit</t>
  </si>
  <si>
    <t>Acre</t>
  </si>
  <si>
    <t>Output Value</t>
  </si>
  <si>
    <t>Square Feet</t>
  </si>
  <si>
    <r>
      <rPr>
        <b/>
        <sz val="11"/>
        <color theme="1" tint="0.499984740745262"/>
        <rFont val="Calibri"/>
        <family val="2"/>
        <scheme val="minor"/>
      </rPr>
      <t>Powered By</t>
    </r>
    <r>
      <rPr>
        <b/>
        <sz val="11"/>
        <color theme="1"/>
        <rFont val="Calibri"/>
        <family val="2"/>
        <scheme val="minor"/>
      </rPr>
      <t xml:space="preserve"> -</t>
    </r>
    <r>
      <rPr>
        <b/>
        <sz val="11"/>
        <color rgb="FFFF66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Asset</t>
    </r>
    <r>
      <rPr>
        <b/>
        <sz val="11"/>
        <color rgb="FFFF6600"/>
        <rFont val="Calibri"/>
        <family val="2"/>
        <scheme val="minor"/>
      </rPr>
      <t>Yogi.com</t>
    </r>
  </si>
  <si>
    <t>Calculation</t>
  </si>
  <si>
    <t>Base Unit</t>
  </si>
  <si>
    <t>Target Unit</t>
  </si>
  <si>
    <t>Index1 (Base)</t>
  </si>
  <si>
    <t>Index 2 (Target)</t>
  </si>
  <si>
    <t>Base Value</t>
  </si>
  <si>
    <t>Conversion Factor</t>
  </si>
  <si>
    <t>Result</t>
  </si>
  <si>
    <t>S.No.</t>
  </si>
  <si>
    <t>Area</t>
  </si>
  <si>
    <t>Conversion Factor 
(to square feet)</t>
  </si>
  <si>
    <t>Popular Factor</t>
  </si>
  <si>
    <t>Unit</t>
  </si>
  <si>
    <t>Remarks</t>
  </si>
  <si>
    <t>Aankadam</t>
  </si>
  <si>
    <t>sqyd</t>
  </si>
  <si>
    <t>Are</t>
  </si>
  <si>
    <t>hectare</t>
  </si>
  <si>
    <t>1 hectare is 100 ares</t>
  </si>
  <si>
    <r>
      <t>Bigha</t>
    </r>
    <r>
      <rPr>
        <sz val="11"/>
        <color theme="1"/>
        <rFont val="Calibri"/>
        <family val="2"/>
        <scheme val="minor"/>
      </rPr>
      <t xml:space="preserve"> - Assam/ Bengal</t>
    </r>
  </si>
  <si>
    <r>
      <t xml:space="preserve">Bigha - Pucca </t>
    </r>
    <r>
      <rPr>
        <sz val="11"/>
        <color theme="1"/>
        <rFont val="Calibri"/>
        <family val="2"/>
        <scheme val="minor"/>
      </rPr>
      <t>(Bihar/ UP/ Rajasthan-I/ Punjab-I/ Haryana-I)</t>
    </r>
  </si>
  <si>
    <t>165 ft X 165ft</t>
  </si>
  <si>
    <r>
      <t xml:space="preserve">Bigha </t>
    </r>
    <r>
      <rPr>
        <sz val="11"/>
        <color theme="1"/>
        <rFont val="Calibri"/>
        <family val="2"/>
        <scheme val="minor"/>
      </rPr>
      <t>(Gujarat/ Rajasthan-II)</t>
    </r>
  </si>
  <si>
    <t>132 ft X 132 ft</t>
  </si>
  <si>
    <r>
      <t>Bigha</t>
    </r>
    <r>
      <rPr>
        <sz val="11"/>
        <color theme="1"/>
        <rFont val="Calibri"/>
        <family val="2"/>
        <scheme val="minor"/>
      </rPr>
      <t xml:space="preserve"> (HP-I/ Uttarakhand-I)</t>
    </r>
  </si>
  <si>
    <r>
      <t xml:space="preserve">Bigha </t>
    </r>
    <r>
      <rPr>
        <sz val="11"/>
        <color theme="1"/>
        <rFont val="Calibri"/>
        <family val="2"/>
        <scheme val="minor"/>
      </rPr>
      <t>(HP-II/ Uttarakhand-II)</t>
    </r>
  </si>
  <si>
    <r>
      <t xml:space="preserve">Bigha </t>
    </r>
    <r>
      <rPr>
        <sz val="11"/>
        <color theme="1"/>
        <rFont val="Calibri"/>
        <family val="2"/>
        <scheme val="minor"/>
      </rPr>
      <t>(MP)</t>
    </r>
  </si>
  <si>
    <r>
      <t xml:space="preserve">Bigha- Kaccha </t>
    </r>
    <r>
      <rPr>
        <sz val="11"/>
        <color theme="1"/>
        <rFont val="Calibri"/>
        <family val="2"/>
        <scheme val="minor"/>
      </rPr>
      <t>(Punjab-II/ Haryana-II)</t>
    </r>
  </si>
  <si>
    <r>
      <t xml:space="preserve">Biswa - Pucca </t>
    </r>
    <r>
      <rPr>
        <sz val="11"/>
        <color theme="1"/>
        <rFont val="Calibri"/>
        <family val="2"/>
        <scheme val="minor"/>
      </rPr>
      <t>(UP/ Rajasthan-I/ Punjab-I/ Haryana-I)</t>
    </r>
  </si>
  <si>
    <t>bigha</t>
  </si>
  <si>
    <t>1 Bigha has 20 Biswas</t>
  </si>
  <si>
    <r>
      <t>Biswa -</t>
    </r>
    <r>
      <rPr>
        <sz val="11"/>
        <color theme="1"/>
        <rFont val="Calibri"/>
        <family val="2"/>
        <scheme val="minor"/>
      </rPr>
      <t xml:space="preserve"> Rajasthan II</t>
    </r>
  </si>
  <si>
    <r>
      <t xml:space="preserve">Biswa </t>
    </r>
    <r>
      <rPr>
        <sz val="11"/>
        <color theme="1"/>
        <rFont val="Calibri"/>
        <family val="2"/>
        <scheme val="minor"/>
      </rPr>
      <t>(HP-I/ Uttarakhand-I)</t>
    </r>
  </si>
  <si>
    <r>
      <t xml:space="preserve">Biswa </t>
    </r>
    <r>
      <rPr>
        <sz val="11"/>
        <color theme="1"/>
        <rFont val="Calibri"/>
        <family val="2"/>
        <scheme val="minor"/>
      </rPr>
      <t>(HP-II/ Uttarakhand-II)</t>
    </r>
  </si>
  <si>
    <r>
      <t xml:space="preserve">Biswa (Kacha) -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Punjab-II/ Haryana-II)</t>
    </r>
  </si>
  <si>
    <t>Centiare</t>
  </si>
  <si>
    <t>1 centiare is 1 sq mtr</t>
  </si>
  <si>
    <t>Cents</t>
  </si>
  <si>
    <t>I00 Cents is 1 Acre</t>
  </si>
  <si>
    <t>Chataks</t>
  </si>
  <si>
    <t>katha</t>
  </si>
  <si>
    <t>1 katha is 16 chatak</t>
  </si>
  <si>
    <t>Decimal</t>
  </si>
  <si>
    <t>acres</t>
  </si>
  <si>
    <t>1 Acre is 100 Decimals</t>
  </si>
  <si>
    <r>
      <t xml:space="preserve">Dhur </t>
    </r>
    <r>
      <rPr>
        <sz val="11"/>
        <color theme="1"/>
        <rFont val="Calibri"/>
        <family val="2"/>
        <scheme val="minor"/>
      </rPr>
      <t>(Bihar/ Jharkhand)</t>
    </r>
  </si>
  <si>
    <t>1 Kattha (Bihar) has 20 Dhurs.</t>
  </si>
  <si>
    <r>
      <t>Dhur</t>
    </r>
    <r>
      <rPr>
        <sz val="11"/>
        <color theme="1"/>
        <rFont val="Calibri"/>
        <family val="2"/>
        <scheme val="minor"/>
      </rPr>
      <t xml:space="preserve"> (Tripura)</t>
    </r>
  </si>
  <si>
    <t>20 Dhurs (Tripura) is equal to 1 Kranta.</t>
  </si>
  <si>
    <t>Ghumaon</t>
  </si>
  <si>
    <t>equal to an acre</t>
  </si>
  <si>
    <t>Ground</t>
  </si>
  <si>
    <t>Gunthas</t>
  </si>
  <si>
    <t>33ft X 33 ft</t>
  </si>
  <si>
    <t>Hectares</t>
  </si>
  <si>
    <t>sqmtr</t>
  </si>
  <si>
    <t>Kanal</t>
  </si>
  <si>
    <t>acre</t>
  </si>
  <si>
    <t>8 kanals is 1 acre</t>
  </si>
  <si>
    <r>
      <t xml:space="preserve">Kattha </t>
    </r>
    <r>
      <rPr>
        <sz val="11"/>
        <color theme="1"/>
        <rFont val="Calibri"/>
        <family val="2"/>
        <scheme val="minor"/>
      </rPr>
      <t>(Assam)</t>
    </r>
  </si>
  <si>
    <t>1 Bigha (Assam) is 4 Kathas (Assam)</t>
  </si>
  <si>
    <r>
      <t xml:space="preserve">Kattha </t>
    </r>
    <r>
      <rPr>
        <sz val="11"/>
        <color theme="1"/>
        <rFont val="Calibri"/>
        <family val="2"/>
        <scheme val="minor"/>
      </rPr>
      <t>(Bengal)</t>
    </r>
  </si>
  <si>
    <t>bigha (bengal</t>
  </si>
  <si>
    <t>1 Bigha (Bengal) has 20 Kathas</t>
  </si>
  <si>
    <r>
      <t xml:space="preserve">Kattha </t>
    </r>
    <r>
      <rPr>
        <sz val="11"/>
        <color theme="1"/>
        <rFont val="Calibri"/>
        <family val="2"/>
        <scheme val="minor"/>
      </rPr>
      <t>(Bihar)</t>
    </r>
  </si>
  <si>
    <t>bigha (bihar)</t>
  </si>
  <si>
    <t>1 Bigha (Bihar) has 20 Kathas</t>
  </si>
  <si>
    <r>
      <t xml:space="preserve">Kattha </t>
    </r>
    <r>
      <rPr>
        <sz val="11"/>
        <color theme="1"/>
        <rFont val="Calibri"/>
        <family val="2"/>
        <scheme val="minor"/>
      </rPr>
      <t>(MP)</t>
    </r>
  </si>
  <si>
    <t>bigha (MP)</t>
  </si>
  <si>
    <t>1 Bigha (MP) has 20 Kathas</t>
  </si>
  <si>
    <t>Killa</t>
  </si>
  <si>
    <t>Kranta</t>
  </si>
  <si>
    <t>1 Acre is equal to 605 Krantas. Unit used in Tripura.</t>
  </si>
  <si>
    <t>Kuncham</t>
  </si>
  <si>
    <t>cents</t>
  </si>
  <si>
    <t>1 kuncham is 10 cents</t>
  </si>
  <si>
    <t>Lecha</t>
  </si>
  <si>
    <t>Marla</t>
  </si>
  <si>
    <t>kanal</t>
  </si>
  <si>
    <t>1 kanal is 20 marlas</t>
  </si>
  <si>
    <t>Murabba</t>
  </si>
  <si>
    <t>I Murabba is 25 acres</t>
  </si>
  <si>
    <t>Nalli</t>
  </si>
  <si>
    <t>sq yd</t>
  </si>
  <si>
    <t>1 Nalli is 240 sqyd</t>
  </si>
  <si>
    <t>Perch</t>
  </si>
  <si>
    <t>Rood</t>
  </si>
  <si>
    <t>1 Rood is 1/4 of an acre</t>
  </si>
  <si>
    <t>Sarsahi (Square Karam)</t>
  </si>
  <si>
    <t>sq inches</t>
  </si>
  <si>
    <t>1 karam X 1 karam (66in X 66in)</t>
  </si>
  <si>
    <t>Shatak</t>
  </si>
  <si>
    <t>1 Acre is 100 Decimals. 
Same as Decimal.</t>
  </si>
  <si>
    <t>Square Centimetres</t>
  </si>
  <si>
    <t>Square Inch</t>
  </si>
  <si>
    <t>1 feet is 12 inches</t>
  </si>
  <si>
    <t>Square Kilometers</t>
  </si>
  <si>
    <t>Standard International Unit of area to measure land. 1 Sq km is 0.3861 Sq Miles, 100 Hectares, 247.1 Acres or 1000000 Sq Mtr.</t>
  </si>
  <si>
    <t>Square Meters</t>
  </si>
  <si>
    <t>Square Miles</t>
  </si>
  <si>
    <t>Acres</t>
  </si>
  <si>
    <t>1 Sq Mile is 2.59 Sqkm, 259 Hectares or 640 Acres.</t>
  </si>
  <si>
    <t>Square Yards</t>
  </si>
  <si>
    <t>sqft.</t>
  </si>
  <si>
    <t>1 sq yd is 9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</si>
</sst>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Franklin Gothic Medium"/>
      <family val="2"/>
    </font>
    <font>
      <sz val="14"/>
      <color theme="1"/>
      <name val="Franklin Gothic Medium"/>
      <family val="2"/>
    </font>
    <font>
      <sz val="16"/>
      <color theme="1"/>
      <name val="Franklin Gothic Medium"/>
      <family val="2"/>
    </font>
    <font>
      <sz val="11"/>
      <color theme="1" tint="0.499984740745262"/>
      <name val="Franklin Gothic Medium"/>
      <family val="2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vertical="center"/>
      <protection hidden="1"/>
    </xf>
    <xf numFmtId="0" fontId="6" fillId="3" borderId="2" xfId="0" applyFont="1" applyFill="1" applyBorder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vertical="center"/>
      <protection locked="0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wrapText="1"/>
      <protection hidden="1"/>
    </xf>
    <xf numFmtId="0" fontId="1" fillId="0" borderId="1" xfId="0" applyFont="1" applyBorder="1" applyProtection="1">
      <protection hidden="1"/>
    </xf>
    <xf numFmtId="0" fontId="1" fillId="0" borderId="1" xfId="0" applyFont="1" applyBorder="1" applyAlignment="1" applyProtection="1">
      <alignment wrapText="1"/>
      <protection hidden="1"/>
    </xf>
    <xf numFmtId="0" fontId="0" fillId="0" borderId="1" xfId="0" applyBorder="1" applyAlignment="1" applyProtection="1">
      <alignment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9" fillId="0" borderId="3" xfId="0" applyFont="1" applyBorder="1" applyAlignment="1" applyProtection="1">
      <alignment horizontal="center"/>
      <protection hidden="1"/>
    </xf>
    <xf numFmtId="0" fontId="4" fillId="4" borderId="0" xfId="0" applyFont="1" applyFill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99FF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9"/>
  <sheetViews>
    <sheetView showGridLines="0" tabSelected="1" zoomScaleNormal="100" workbookViewId="0">
      <selection activeCell="B7" sqref="B7"/>
    </sheetView>
  </sheetViews>
  <sheetFormatPr defaultRowHeight="15"/>
  <cols>
    <col min="1" max="1" width="22.5703125" style="1" customWidth="1"/>
    <col min="2" max="2" width="62.5703125" style="1" customWidth="1"/>
    <col min="3" max="3" width="3" style="1" customWidth="1"/>
    <col min="4" max="4" width="23.7109375" style="1" bestFit="1" customWidth="1"/>
    <col min="5" max="5" width="18" style="1" bestFit="1" customWidth="1"/>
    <col min="6" max="6" width="16.140625" style="1" bestFit="1" customWidth="1"/>
    <col min="7" max="7" width="41.7109375" style="1" bestFit="1" customWidth="1"/>
    <col min="8" max="16384" width="9.140625" style="1"/>
  </cols>
  <sheetData>
    <row r="1" spans="1:4" ht="29.25" customHeight="1">
      <c r="A1" s="23" t="s">
        <v>0</v>
      </c>
      <c r="B1" s="23"/>
      <c r="C1" s="23"/>
    </row>
    <row r="3" spans="1:4">
      <c r="A3" s="2" t="s">
        <v>1</v>
      </c>
      <c r="B3" s="6" t="s">
        <v>2</v>
      </c>
    </row>
    <row r="4" spans="1:4" ht="29.25" customHeight="1">
      <c r="A4" s="9">
        <v>1</v>
      </c>
      <c r="B4" s="8" t="s">
        <v>3</v>
      </c>
      <c r="C4" s="3"/>
      <c r="D4" s="4"/>
    </row>
    <row r="5" spans="1:4" ht="15.75" customHeight="1">
      <c r="A5" s="22"/>
      <c r="B5" s="22"/>
      <c r="C5" s="3"/>
      <c r="D5" s="4"/>
    </row>
    <row r="6" spans="1:4" ht="16.5" customHeight="1">
      <c r="A6" s="2" t="s">
        <v>4</v>
      </c>
      <c r="B6" s="6" t="s">
        <v>2</v>
      </c>
      <c r="C6" s="7"/>
    </row>
    <row r="7" spans="1:4" ht="27.75" customHeight="1">
      <c r="A7" s="10">
        <f>D17</f>
        <v>43560</v>
      </c>
      <c r="B7" s="11" t="s">
        <v>5</v>
      </c>
    </row>
    <row r="8" spans="1:4" ht="50.25" customHeight="1"/>
    <row r="9" spans="1:4" ht="50.25" customHeight="1">
      <c r="A9" s="21" t="s">
        <v>6</v>
      </c>
    </row>
    <row r="10" spans="1:4" hidden="1">
      <c r="B10" s="5" t="s">
        <v>7</v>
      </c>
    </row>
    <row r="11" spans="1:4" hidden="1">
      <c r="B11" s="12" t="s">
        <v>8</v>
      </c>
      <c r="C11" s="12"/>
      <c r="D11" s="14" t="str">
        <f>B4</f>
        <v>Acre</v>
      </c>
    </row>
    <row r="12" spans="1:4" hidden="1">
      <c r="B12" s="12" t="s">
        <v>9</v>
      </c>
      <c r="C12" s="12"/>
      <c r="D12" s="14" t="str">
        <f>B7</f>
        <v>Square Feet</v>
      </c>
    </row>
    <row r="13" spans="1:4" hidden="1">
      <c r="B13" s="12" t="s">
        <v>10</v>
      </c>
      <c r="C13" s="12"/>
      <c r="D13" s="13">
        <f>LOOKUP(D11, Area, A22:A69)</f>
        <v>2</v>
      </c>
    </row>
    <row r="14" spans="1:4" hidden="1">
      <c r="B14" s="12" t="s">
        <v>11</v>
      </c>
      <c r="C14" s="12"/>
      <c r="D14" s="13">
        <f>LOOKUP(D12, Area, A22:A69)</f>
        <v>43</v>
      </c>
    </row>
    <row r="15" spans="1:4" hidden="1">
      <c r="B15" s="12" t="s">
        <v>12</v>
      </c>
      <c r="C15" s="12"/>
      <c r="D15" s="13">
        <f>A4</f>
        <v>1</v>
      </c>
    </row>
    <row r="16" spans="1:4" hidden="1">
      <c r="B16" s="12" t="s">
        <v>13</v>
      </c>
      <c r="C16" s="12"/>
      <c r="D16" s="13">
        <f>INDEX(D22:D69, D13, 1)/INDEX(D22:D69, D14, 1)</f>
        <v>43560</v>
      </c>
    </row>
    <row r="17" spans="1:7" hidden="1">
      <c r="B17" s="12" t="s">
        <v>14</v>
      </c>
      <c r="C17" s="12"/>
      <c r="D17" s="13">
        <f>D15*D16</f>
        <v>43560</v>
      </c>
    </row>
    <row r="18" spans="1:7" hidden="1"/>
    <row r="19" spans="1:7" hidden="1"/>
    <row r="20" spans="1:7" hidden="1"/>
    <row r="21" spans="1:7" s="3" customFormat="1" ht="30" hidden="1">
      <c r="A21" s="13" t="s">
        <v>15</v>
      </c>
      <c r="B21" s="16" t="s">
        <v>16</v>
      </c>
      <c r="C21" s="16"/>
      <c r="D21" s="17" t="s">
        <v>17</v>
      </c>
      <c r="E21" s="16" t="s">
        <v>18</v>
      </c>
      <c r="F21" s="16" t="s">
        <v>19</v>
      </c>
      <c r="G21" s="16" t="s">
        <v>20</v>
      </c>
    </row>
    <row r="22" spans="1:7" hidden="1">
      <c r="A22" s="13">
        <v>1</v>
      </c>
      <c r="B22" s="18" t="s">
        <v>21</v>
      </c>
      <c r="C22" s="18"/>
      <c r="D22" s="12">
        <v>72</v>
      </c>
      <c r="E22" s="12"/>
      <c r="F22" s="12"/>
      <c r="G22" s="12"/>
    </row>
    <row r="23" spans="1:7" hidden="1">
      <c r="A23" s="13">
        <f>A22+1</f>
        <v>2</v>
      </c>
      <c r="B23" s="18" t="s">
        <v>3</v>
      </c>
      <c r="C23" s="18"/>
      <c r="D23" s="12">
        <f>E23*E69</f>
        <v>43560</v>
      </c>
      <c r="E23" s="12">
        <v>4840</v>
      </c>
      <c r="F23" s="12" t="s">
        <v>22</v>
      </c>
      <c r="G23" s="12"/>
    </row>
    <row r="24" spans="1:7" hidden="1">
      <c r="A24" s="13">
        <f t="shared" ref="A24:A69" si="0">A23+1</f>
        <v>3</v>
      </c>
      <c r="B24" s="18" t="s">
        <v>23</v>
      </c>
      <c r="C24" s="18"/>
      <c r="D24" s="12">
        <f>D46/100</f>
        <v>1076.391042</v>
      </c>
      <c r="E24" s="12">
        <v>0.01</v>
      </c>
      <c r="F24" s="12" t="s">
        <v>24</v>
      </c>
      <c r="G24" s="12" t="s">
        <v>25</v>
      </c>
    </row>
    <row r="25" spans="1:7" hidden="1">
      <c r="A25" s="13">
        <f t="shared" si="0"/>
        <v>4</v>
      </c>
      <c r="B25" s="18" t="s">
        <v>26</v>
      </c>
      <c r="C25" s="18"/>
      <c r="D25" s="12">
        <f>E25*$D$69</f>
        <v>14400</v>
      </c>
      <c r="E25" s="12">
        <v>1600</v>
      </c>
      <c r="F25" s="12" t="s">
        <v>22</v>
      </c>
      <c r="G25" s="12"/>
    </row>
    <row r="26" spans="1:7" hidden="1">
      <c r="A26" s="13">
        <f t="shared" si="0"/>
        <v>5</v>
      </c>
      <c r="B26" s="19" t="s">
        <v>27</v>
      </c>
      <c r="C26" s="19"/>
      <c r="D26" s="12">
        <f t="shared" ref="D26:D29" si="1">E26*$D$69</f>
        <v>27225</v>
      </c>
      <c r="E26" s="12">
        <v>3025</v>
      </c>
      <c r="F26" s="12" t="s">
        <v>22</v>
      </c>
      <c r="G26" s="12" t="s">
        <v>28</v>
      </c>
    </row>
    <row r="27" spans="1:7" hidden="1">
      <c r="A27" s="13">
        <f t="shared" si="0"/>
        <v>6</v>
      </c>
      <c r="B27" s="18" t="s">
        <v>29</v>
      </c>
      <c r="C27" s="18"/>
      <c r="D27" s="12">
        <f t="shared" si="1"/>
        <v>17424</v>
      </c>
      <c r="E27" s="12">
        <v>1936</v>
      </c>
      <c r="F27" s="12" t="s">
        <v>22</v>
      </c>
      <c r="G27" s="12" t="s">
        <v>30</v>
      </c>
    </row>
    <row r="28" spans="1:7" hidden="1">
      <c r="A28" s="13">
        <f t="shared" si="0"/>
        <v>7</v>
      </c>
      <c r="B28" s="18" t="s">
        <v>31</v>
      </c>
      <c r="C28" s="18"/>
      <c r="D28" s="12">
        <f t="shared" si="1"/>
        <v>8712</v>
      </c>
      <c r="E28" s="12">
        <v>968</v>
      </c>
      <c r="F28" s="12" t="s">
        <v>22</v>
      </c>
      <c r="G28" s="12"/>
    </row>
    <row r="29" spans="1:7" hidden="1">
      <c r="A29" s="13">
        <f t="shared" si="0"/>
        <v>8</v>
      </c>
      <c r="B29" s="18" t="s">
        <v>32</v>
      </c>
      <c r="C29" s="18"/>
      <c r="D29" s="12">
        <f t="shared" si="1"/>
        <v>8100</v>
      </c>
      <c r="E29" s="12">
        <v>900</v>
      </c>
      <c r="F29" s="12" t="s">
        <v>22</v>
      </c>
      <c r="G29" s="12"/>
    </row>
    <row r="30" spans="1:7" hidden="1">
      <c r="A30" s="13">
        <f t="shared" si="0"/>
        <v>9</v>
      </c>
      <c r="B30" s="18" t="s">
        <v>33</v>
      </c>
      <c r="C30" s="18"/>
      <c r="D30" s="12">
        <v>12000</v>
      </c>
      <c r="E30" s="12">
        <v>1333.33</v>
      </c>
      <c r="F30" s="12" t="s">
        <v>22</v>
      </c>
      <c r="G30" s="12"/>
    </row>
    <row r="31" spans="1:7" hidden="1">
      <c r="A31" s="13">
        <f t="shared" si="0"/>
        <v>10</v>
      </c>
      <c r="B31" s="18" t="s">
        <v>34</v>
      </c>
      <c r="C31" s="18"/>
      <c r="D31" s="12">
        <f>E31*$D$69</f>
        <v>9075</v>
      </c>
      <c r="E31" s="12">
        <f>E26/3</f>
        <v>1008.3333333333334</v>
      </c>
      <c r="F31" s="12" t="s">
        <v>22</v>
      </c>
      <c r="G31" s="12"/>
    </row>
    <row r="32" spans="1:7" hidden="1">
      <c r="A32" s="13">
        <f t="shared" si="0"/>
        <v>11</v>
      </c>
      <c r="B32" s="19" t="s">
        <v>35</v>
      </c>
      <c r="C32" s="19"/>
      <c r="D32" s="12">
        <f>E32*D26</f>
        <v>1361.25</v>
      </c>
      <c r="E32" s="12">
        <f>1/20</f>
        <v>0.05</v>
      </c>
      <c r="F32" s="12" t="s">
        <v>36</v>
      </c>
      <c r="G32" s="12" t="s">
        <v>37</v>
      </c>
    </row>
    <row r="33" spans="1:7" hidden="1">
      <c r="A33" s="13">
        <f t="shared" si="0"/>
        <v>12</v>
      </c>
      <c r="B33" s="18" t="s">
        <v>38</v>
      </c>
      <c r="C33" s="18"/>
      <c r="D33" s="12">
        <f>E33*D27</f>
        <v>871.2</v>
      </c>
      <c r="E33" s="12">
        <f t="shared" ref="E33:E36" si="2">1/20</f>
        <v>0.05</v>
      </c>
      <c r="F33" s="12" t="s">
        <v>36</v>
      </c>
      <c r="G33" s="12" t="s">
        <v>37</v>
      </c>
    </row>
    <row r="34" spans="1:7" hidden="1">
      <c r="A34" s="13">
        <f t="shared" si="0"/>
        <v>13</v>
      </c>
      <c r="B34" s="18" t="s">
        <v>39</v>
      </c>
      <c r="C34" s="18"/>
      <c r="D34" s="12">
        <f>E34*D28</f>
        <v>435.6</v>
      </c>
      <c r="E34" s="12">
        <f t="shared" si="2"/>
        <v>0.05</v>
      </c>
      <c r="F34" s="12" t="s">
        <v>36</v>
      </c>
      <c r="G34" s="12" t="s">
        <v>37</v>
      </c>
    </row>
    <row r="35" spans="1:7" hidden="1">
      <c r="A35" s="13">
        <f t="shared" si="0"/>
        <v>14</v>
      </c>
      <c r="B35" s="18" t="s">
        <v>40</v>
      </c>
      <c r="C35" s="18"/>
      <c r="D35" s="12">
        <f>E35*D29</f>
        <v>405</v>
      </c>
      <c r="E35" s="12">
        <f t="shared" si="2"/>
        <v>0.05</v>
      </c>
      <c r="F35" s="12" t="s">
        <v>36</v>
      </c>
      <c r="G35" s="12" t="s">
        <v>37</v>
      </c>
    </row>
    <row r="36" spans="1:7" hidden="1">
      <c r="A36" s="13">
        <f t="shared" si="0"/>
        <v>15</v>
      </c>
      <c r="B36" s="18" t="s">
        <v>41</v>
      </c>
      <c r="C36" s="18"/>
      <c r="D36" s="12">
        <f>E36*D31</f>
        <v>453.75</v>
      </c>
      <c r="E36" s="12">
        <f t="shared" si="2"/>
        <v>0.05</v>
      </c>
      <c r="F36" s="12" t="s">
        <v>36</v>
      </c>
      <c r="G36" s="12" t="s">
        <v>37</v>
      </c>
    </row>
    <row r="37" spans="1:7" hidden="1">
      <c r="A37" s="13">
        <f t="shared" si="0"/>
        <v>16</v>
      </c>
      <c r="B37" s="18" t="s">
        <v>42</v>
      </c>
      <c r="C37" s="18"/>
      <c r="D37" s="12">
        <v>10.76391042</v>
      </c>
      <c r="E37" s="12"/>
      <c r="F37" s="12"/>
      <c r="G37" s="12" t="s">
        <v>43</v>
      </c>
    </row>
    <row r="38" spans="1:7" hidden="1">
      <c r="A38" s="13">
        <f t="shared" si="0"/>
        <v>17</v>
      </c>
      <c r="B38" s="18" t="s">
        <v>44</v>
      </c>
      <c r="C38" s="18"/>
      <c r="D38" s="12">
        <v>435.6</v>
      </c>
      <c r="E38" s="12">
        <v>48.4</v>
      </c>
      <c r="F38" s="12" t="s">
        <v>22</v>
      </c>
      <c r="G38" s="12" t="s">
        <v>45</v>
      </c>
    </row>
    <row r="39" spans="1:7" hidden="1">
      <c r="A39" s="13">
        <f t="shared" si="0"/>
        <v>18</v>
      </c>
      <c r="B39" s="18" t="s">
        <v>46</v>
      </c>
      <c r="C39" s="18"/>
      <c r="D39" s="12">
        <f>E39*D48</f>
        <v>180</v>
      </c>
      <c r="E39" s="12">
        <f>1/16</f>
        <v>6.25E-2</v>
      </c>
      <c r="F39" s="12" t="s">
        <v>47</v>
      </c>
      <c r="G39" s="12" t="s">
        <v>48</v>
      </c>
    </row>
    <row r="40" spans="1:7" hidden="1">
      <c r="A40" s="13">
        <f t="shared" si="0"/>
        <v>19</v>
      </c>
      <c r="B40" s="18" t="s">
        <v>49</v>
      </c>
      <c r="C40" s="18"/>
      <c r="D40" s="12">
        <f>E40*D23</f>
        <v>435.6</v>
      </c>
      <c r="E40" s="12">
        <v>0.01</v>
      </c>
      <c r="F40" s="12" t="s">
        <v>50</v>
      </c>
      <c r="G40" s="12" t="s">
        <v>51</v>
      </c>
    </row>
    <row r="41" spans="1:7" hidden="1">
      <c r="A41" s="13">
        <f t="shared" si="0"/>
        <v>20</v>
      </c>
      <c r="B41" s="18" t="s">
        <v>52</v>
      </c>
      <c r="C41" s="18"/>
      <c r="D41" s="12">
        <f>D50/20</f>
        <v>68.0625</v>
      </c>
      <c r="E41" s="12"/>
      <c r="F41" s="12"/>
      <c r="G41" s="15" t="s">
        <v>53</v>
      </c>
    </row>
    <row r="42" spans="1:7" hidden="1">
      <c r="A42" s="13">
        <f t="shared" si="0"/>
        <v>21</v>
      </c>
      <c r="B42" s="18" t="s">
        <v>54</v>
      </c>
      <c r="C42" s="18"/>
      <c r="D42" s="12">
        <f>D53/20</f>
        <v>3.6</v>
      </c>
      <c r="E42" s="12"/>
      <c r="F42" s="12"/>
      <c r="G42" s="15" t="s">
        <v>55</v>
      </c>
    </row>
    <row r="43" spans="1:7" hidden="1">
      <c r="A43" s="13">
        <f t="shared" si="0"/>
        <v>22</v>
      </c>
      <c r="B43" s="18" t="s">
        <v>56</v>
      </c>
      <c r="C43" s="18"/>
      <c r="D43" s="12">
        <v>43560</v>
      </c>
      <c r="E43" s="12"/>
      <c r="F43" s="12"/>
      <c r="G43" s="12" t="s">
        <v>57</v>
      </c>
    </row>
    <row r="44" spans="1:7" hidden="1">
      <c r="A44" s="13">
        <f t="shared" si="0"/>
        <v>23</v>
      </c>
      <c r="B44" s="18" t="s">
        <v>58</v>
      </c>
      <c r="C44" s="18"/>
      <c r="D44" s="12">
        <v>2400</v>
      </c>
      <c r="E44" s="12"/>
      <c r="F44" s="12"/>
      <c r="G44" s="12"/>
    </row>
    <row r="45" spans="1:7" hidden="1">
      <c r="A45" s="13">
        <f t="shared" si="0"/>
        <v>24</v>
      </c>
      <c r="B45" s="18" t="s">
        <v>59</v>
      </c>
      <c r="C45" s="18"/>
      <c r="D45" s="12">
        <v>1089</v>
      </c>
      <c r="E45" s="12"/>
      <c r="F45" s="12"/>
      <c r="G45" s="12" t="s">
        <v>60</v>
      </c>
    </row>
    <row r="46" spans="1:7" hidden="1">
      <c r="A46" s="13">
        <f t="shared" si="0"/>
        <v>25</v>
      </c>
      <c r="B46" s="18" t="s">
        <v>61</v>
      </c>
      <c r="C46" s="18"/>
      <c r="D46" s="12">
        <f>D67*E46</f>
        <v>107639.1042</v>
      </c>
      <c r="E46" s="12">
        <v>10000</v>
      </c>
      <c r="F46" s="12" t="s">
        <v>62</v>
      </c>
      <c r="G46" s="12"/>
    </row>
    <row r="47" spans="1:7" hidden="1">
      <c r="A47" s="13">
        <f t="shared" si="0"/>
        <v>26</v>
      </c>
      <c r="B47" s="18" t="s">
        <v>63</v>
      </c>
      <c r="C47" s="18"/>
      <c r="D47" s="12">
        <f>E47*D23</f>
        <v>5445</v>
      </c>
      <c r="E47" s="12">
        <v>0.125</v>
      </c>
      <c r="F47" s="12" t="s">
        <v>64</v>
      </c>
      <c r="G47" s="12" t="s">
        <v>65</v>
      </c>
    </row>
    <row r="48" spans="1:7" hidden="1">
      <c r="A48" s="13">
        <f t="shared" si="0"/>
        <v>27</v>
      </c>
      <c r="B48" s="18" t="s">
        <v>66</v>
      </c>
      <c r="C48" s="18"/>
      <c r="D48" s="12">
        <v>2880</v>
      </c>
      <c r="E48" s="12"/>
      <c r="F48" s="12"/>
      <c r="G48" s="12" t="s">
        <v>67</v>
      </c>
    </row>
    <row r="49" spans="1:7" hidden="1">
      <c r="A49" s="13">
        <f t="shared" si="0"/>
        <v>28</v>
      </c>
      <c r="B49" s="18" t="s">
        <v>68</v>
      </c>
      <c r="C49" s="18"/>
      <c r="D49" s="12">
        <f>E49*D25</f>
        <v>720</v>
      </c>
      <c r="E49" s="12">
        <v>0.05</v>
      </c>
      <c r="F49" s="12" t="s">
        <v>69</v>
      </c>
      <c r="G49" s="12" t="s">
        <v>70</v>
      </c>
    </row>
    <row r="50" spans="1:7" hidden="1">
      <c r="A50" s="13">
        <f t="shared" si="0"/>
        <v>29</v>
      </c>
      <c r="B50" s="18" t="s">
        <v>71</v>
      </c>
      <c r="C50" s="18"/>
      <c r="D50" s="12">
        <f>E50*D26</f>
        <v>1361.25</v>
      </c>
      <c r="E50" s="12">
        <f>1/20</f>
        <v>0.05</v>
      </c>
      <c r="F50" s="12" t="s">
        <v>72</v>
      </c>
      <c r="G50" s="12" t="s">
        <v>73</v>
      </c>
    </row>
    <row r="51" spans="1:7" hidden="1">
      <c r="A51" s="13">
        <f t="shared" si="0"/>
        <v>30</v>
      </c>
      <c r="B51" s="18" t="s">
        <v>74</v>
      </c>
      <c r="C51" s="18"/>
      <c r="D51" s="12">
        <f>E51*D30</f>
        <v>600</v>
      </c>
      <c r="E51" s="12">
        <v>0.05</v>
      </c>
      <c r="F51" s="12" t="s">
        <v>75</v>
      </c>
      <c r="G51" s="12" t="s">
        <v>76</v>
      </c>
    </row>
    <row r="52" spans="1:7" hidden="1">
      <c r="A52" s="13">
        <f t="shared" si="0"/>
        <v>31</v>
      </c>
      <c r="B52" s="18" t="s">
        <v>77</v>
      </c>
      <c r="C52" s="18"/>
      <c r="D52" s="12">
        <v>43560</v>
      </c>
      <c r="E52" s="12"/>
      <c r="F52" s="12"/>
      <c r="G52" s="12" t="s">
        <v>57</v>
      </c>
    </row>
    <row r="53" spans="1:7" ht="30" hidden="1">
      <c r="A53" s="13">
        <f t="shared" si="0"/>
        <v>32</v>
      </c>
      <c r="B53" s="18" t="s">
        <v>78</v>
      </c>
      <c r="C53" s="18"/>
      <c r="D53" s="12">
        <v>72</v>
      </c>
      <c r="E53" s="12"/>
      <c r="F53" s="12"/>
      <c r="G53" s="15" t="s">
        <v>79</v>
      </c>
    </row>
    <row r="54" spans="1:7" hidden="1">
      <c r="A54" s="13">
        <f t="shared" si="0"/>
        <v>33</v>
      </c>
      <c r="B54" s="18" t="s">
        <v>80</v>
      </c>
      <c r="C54" s="18"/>
      <c r="D54" s="12">
        <f>E54*D38</f>
        <v>4356</v>
      </c>
      <c r="E54" s="12">
        <v>10</v>
      </c>
      <c r="F54" s="12" t="s">
        <v>81</v>
      </c>
      <c r="G54" s="12" t="s">
        <v>82</v>
      </c>
    </row>
    <row r="55" spans="1:7" hidden="1">
      <c r="A55" s="13">
        <f t="shared" si="0"/>
        <v>34</v>
      </c>
      <c r="B55" s="18" t="s">
        <v>83</v>
      </c>
      <c r="C55" s="18"/>
      <c r="D55" s="12">
        <v>144</v>
      </c>
      <c r="E55" s="12"/>
      <c r="F55" s="12"/>
      <c r="G55" s="12"/>
    </row>
    <row r="56" spans="1:7" hidden="1">
      <c r="A56" s="13">
        <f t="shared" si="0"/>
        <v>35</v>
      </c>
      <c r="B56" s="18" t="s">
        <v>84</v>
      </c>
      <c r="C56" s="18"/>
      <c r="D56" s="12">
        <f>E56*D47</f>
        <v>272.25</v>
      </c>
      <c r="E56" s="12">
        <f>1/20</f>
        <v>0.05</v>
      </c>
      <c r="F56" s="12" t="s">
        <v>85</v>
      </c>
      <c r="G56" s="12" t="s">
        <v>86</v>
      </c>
    </row>
    <row r="57" spans="1:7" hidden="1">
      <c r="A57" s="13">
        <f t="shared" si="0"/>
        <v>36</v>
      </c>
      <c r="B57" s="18" t="s">
        <v>87</v>
      </c>
      <c r="C57" s="18"/>
      <c r="D57" s="12">
        <f>E57*D23</f>
        <v>1089000</v>
      </c>
      <c r="E57" s="12">
        <v>25</v>
      </c>
      <c r="F57" s="12" t="s">
        <v>50</v>
      </c>
      <c r="G57" s="12" t="s">
        <v>88</v>
      </c>
    </row>
    <row r="58" spans="1:7" hidden="1">
      <c r="A58" s="13">
        <f t="shared" si="0"/>
        <v>37</v>
      </c>
      <c r="B58" s="18" t="s">
        <v>89</v>
      </c>
      <c r="C58" s="18"/>
      <c r="D58" s="12">
        <f>E58*D69</f>
        <v>2160</v>
      </c>
      <c r="E58" s="12">
        <v>240</v>
      </c>
      <c r="F58" s="12" t="s">
        <v>90</v>
      </c>
      <c r="G58" s="12" t="s">
        <v>91</v>
      </c>
    </row>
    <row r="59" spans="1:7" hidden="1">
      <c r="A59" s="13">
        <f t="shared" si="0"/>
        <v>38</v>
      </c>
      <c r="B59" s="18" t="s">
        <v>92</v>
      </c>
      <c r="C59" s="18"/>
      <c r="D59" s="12">
        <v>272.25</v>
      </c>
      <c r="E59" s="12"/>
      <c r="F59" s="12"/>
      <c r="G59" s="12"/>
    </row>
    <row r="60" spans="1:7" hidden="1">
      <c r="A60" s="13">
        <f t="shared" si="0"/>
        <v>39</v>
      </c>
      <c r="B60" s="18" t="s">
        <v>93</v>
      </c>
      <c r="C60" s="18"/>
      <c r="D60" s="12">
        <f>E60*D23</f>
        <v>10890</v>
      </c>
      <c r="E60" s="12">
        <v>0.25</v>
      </c>
      <c r="F60" s="12" t="s">
        <v>50</v>
      </c>
      <c r="G60" s="12" t="s">
        <v>94</v>
      </c>
    </row>
    <row r="61" spans="1:7" hidden="1">
      <c r="A61" s="13">
        <f t="shared" si="0"/>
        <v>40</v>
      </c>
      <c r="B61" s="18" t="s">
        <v>95</v>
      </c>
      <c r="C61" s="18"/>
      <c r="D61" s="12">
        <f>E61/144</f>
        <v>30.25</v>
      </c>
      <c r="E61" s="12">
        <f>66*66</f>
        <v>4356</v>
      </c>
      <c r="F61" s="12" t="s">
        <v>96</v>
      </c>
      <c r="G61" s="12" t="s">
        <v>97</v>
      </c>
    </row>
    <row r="62" spans="1:7" ht="30" hidden="1">
      <c r="A62" s="13">
        <f t="shared" si="0"/>
        <v>41</v>
      </c>
      <c r="B62" s="18" t="s">
        <v>98</v>
      </c>
      <c r="C62" s="18"/>
      <c r="D62" s="12">
        <v>435.6</v>
      </c>
      <c r="E62" s="12"/>
      <c r="F62" s="12"/>
      <c r="G62" s="20" t="s">
        <v>99</v>
      </c>
    </row>
    <row r="63" spans="1:7" hidden="1">
      <c r="A63" s="13">
        <f t="shared" si="0"/>
        <v>42</v>
      </c>
      <c r="B63" s="18" t="s">
        <v>100</v>
      </c>
      <c r="C63" s="18"/>
      <c r="D63" s="12">
        <f>D67/10000</f>
        <v>1.0763910419999999E-3</v>
      </c>
      <c r="E63" s="12"/>
      <c r="F63" s="12"/>
      <c r="G63" s="12"/>
    </row>
    <row r="64" spans="1:7" hidden="1">
      <c r="A64" s="13">
        <f t="shared" si="0"/>
        <v>43</v>
      </c>
      <c r="B64" s="18" t="s">
        <v>5</v>
      </c>
      <c r="C64" s="18"/>
      <c r="D64" s="12">
        <v>1</v>
      </c>
      <c r="E64" s="12"/>
      <c r="F64" s="12"/>
      <c r="G64" s="12"/>
    </row>
    <row r="65" spans="1:7" hidden="1">
      <c r="A65" s="13">
        <f t="shared" si="0"/>
        <v>44</v>
      </c>
      <c r="B65" s="18" t="s">
        <v>101</v>
      </c>
      <c r="C65" s="18"/>
      <c r="D65" s="12">
        <f>1/144</f>
        <v>6.9444444444444441E-3</v>
      </c>
      <c r="E65" s="12"/>
      <c r="F65" s="12"/>
      <c r="G65" s="12" t="s">
        <v>102</v>
      </c>
    </row>
    <row r="66" spans="1:7" ht="45" hidden="1">
      <c r="A66" s="13">
        <f t="shared" si="0"/>
        <v>45</v>
      </c>
      <c r="B66" s="18" t="s">
        <v>103</v>
      </c>
      <c r="C66" s="18"/>
      <c r="D66" s="12">
        <f>E66*D46</f>
        <v>10763910.42</v>
      </c>
      <c r="E66" s="12">
        <v>100</v>
      </c>
      <c r="F66" s="12" t="s">
        <v>61</v>
      </c>
      <c r="G66" s="15" t="s">
        <v>104</v>
      </c>
    </row>
    <row r="67" spans="1:7" hidden="1">
      <c r="A67" s="13">
        <f t="shared" si="0"/>
        <v>46</v>
      </c>
      <c r="B67" s="18" t="s">
        <v>105</v>
      </c>
      <c r="C67" s="18"/>
      <c r="D67" s="12">
        <v>10.76391042</v>
      </c>
      <c r="E67" s="12"/>
      <c r="F67" s="12"/>
      <c r="G67" s="12"/>
    </row>
    <row r="68" spans="1:7" ht="30" hidden="1">
      <c r="A68" s="13">
        <f t="shared" si="0"/>
        <v>47</v>
      </c>
      <c r="B68" s="18" t="s">
        <v>106</v>
      </c>
      <c r="C68" s="18"/>
      <c r="D68" s="12">
        <f>E68*D23</f>
        <v>27878400</v>
      </c>
      <c r="E68" s="12">
        <v>640</v>
      </c>
      <c r="F68" s="12" t="s">
        <v>107</v>
      </c>
      <c r="G68" s="15" t="s">
        <v>108</v>
      </c>
    </row>
    <row r="69" spans="1:7" hidden="1">
      <c r="A69" s="13">
        <f t="shared" si="0"/>
        <v>48</v>
      </c>
      <c r="B69" s="18" t="s">
        <v>109</v>
      </c>
      <c r="C69" s="18"/>
      <c r="D69" s="12">
        <v>9</v>
      </c>
      <c r="E69" s="12">
        <v>9</v>
      </c>
      <c r="F69" s="12" t="s">
        <v>110</v>
      </c>
      <c r="G69" s="12" t="s">
        <v>111</v>
      </c>
    </row>
  </sheetData>
  <sheetProtection algorithmName="SHA-512" hashValue="HWCozuJw+Pdm468D19aTqLCWMxdDjgSk75YX3QeX69w1fH5jXIzeA6WbcPDvVFQjPKZ/akd+r5V/CW93hXvPxQ==" saltValue="7ieqTcfiJOb336ULxirK5g==" spinCount="100000" sheet="1" objects="1" scenarios="1" selectLockedCells="1"/>
  <mergeCells count="2">
    <mergeCell ref="A5:B5"/>
    <mergeCell ref="A1:C1"/>
  </mergeCells>
  <dataValidations count="1">
    <dataValidation type="list" allowBlank="1" showInputMessage="1" showErrorMessage="1" errorTitle="Stop!" error="Invalid Data. Enter Again." sqref="B7 B4" xr:uid="{00000000-0002-0000-0000-000000000000}">
      <formula1>Area</formula1>
    </dataValidation>
  </dataValidation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2015-01-12T08:42:49Z</dcterms:created>
  <dcterms:modified xsi:type="dcterms:W3CDTF">2021-05-10T11:43:17Z</dcterms:modified>
  <cp:category/>
  <cp:contentStatus/>
</cp:coreProperties>
</file>